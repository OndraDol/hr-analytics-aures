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ndrej.dolejs\Desktop\"/>
    </mc:Choice>
  </mc:AlternateContent>
  <xr:revisionPtr revIDLastSave="0" documentId="8_{AB7F7900-840B-4A5E-9836-12C307DE2645}" xr6:coauthVersionLast="47" xr6:coauthVersionMax="47" xr10:uidLastSave="{00000000-0000-0000-0000-000000000000}"/>
  <bookViews>
    <workbookView xWindow="-23148" yWindow="-84" windowWidth="23256" windowHeight="13896" firstSheet="2" activeTab="3" xr2:uid="{246B72F4-D30F-4979-B0E0-54D85355274E}"/>
  </bookViews>
  <sheets>
    <sheet name="Vojta_all" sheetId="1" state="hidden" r:id="rId1"/>
    <sheet name="HR Reporty_actual" sheetId="3" r:id="rId2"/>
    <sheet name="ESG reporty_actual" sheetId="4" r:id="rId3"/>
    <sheet name="NÁVRH_do_BI" sheetId="8" r:id="rId4"/>
    <sheet name="Návrh_rozpad" sheetId="6" state="hidden" r:id="rId5"/>
    <sheet name="CZ" sheetId="11" state="hidden" r:id="rId6"/>
    <sheet name="NÁVRH" sheetId="5" state="hidden" r:id="rId7"/>
  </sheets>
  <definedNames>
    <definedName name="_xlnm._FilterDatabase" localSheetId="1" hidden="1">'HR Reporty_actual'!$A$1:$G$41</definedName>
    <definedName name="_xlnm._FilterDatabase" localSheetId="0" hidden="1">Vojta_all!$A$1:$G$48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" i="3" l="1"/>
  <c r="D7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Marie Vorsilkova</author>
  </authors>
  <commentList>
    <comment ref="L12" authorId="0" shapeId="0" xr:uid="{17F0B66D-C210-4083-9220-2430C547AF1E}">
      <text>
        <r>
          <rPr>
            <sz val="11"/>
            <color theme="1"/>
            <rFont val="Aptos Narrow"/>
            <family val="2"/>
            <charset val="238"/>
            <scheme val="minor"/>
          </rPr>
          <t>Marie Vorsilkova:
To ensure the quality of the candidates is must!</t>
        </r>
      </text>
    </comment>
  </commentList>
</comments>
</file>

<file path=xl/sharedStrings.xml><?xml version="1.0" encoding="utf-8"?>
<sst xmlns="http://schemas.openxmlformats.org/spreadsheetml/2006/main" count="1386" uniqueCount="581">
  <si>
    <t>Reporty</t>
  </si>
  <si>
    <t>Komu</t>
  </si>
  <si>
    <t>Jak často</t>
  </si>
  <si>
    <t>Časová dotace</t>
  </si>
  <si>
    <t>Kdo?</t>
  </si>
  <si>
    <t>Pravidelně</t>
  </si>
  <si>
    <t>kolik lidí je ve firmě, a kdo z nich je na vynětí</t>
  </si>
  <si>
    <t>Martina Kahulová</t>
  </si>
  <si>
    <t>1x měsíčně</t>
  </si>
  <si>
    <t>Vojta</t>
  </si>
  <si>
    <t>Ano</t>
  </si>
  <si>
    <t>report</t>
  </si>
  <si>
    <t>Počty F&amp;I ve firmě (kvůli reportům pro ČNB)</t>
  </si>
  <si>
    <t>Marek Pilc</t>
  </si>
  <si>
    <t>Kompletní přehled zaměstnanců dle zařazení na manažerskou strukturu BXX pro další využítí v Divizi Office Operations</t>
  </si>
  <si>
    <t>Jan Vojtěch/Pavla Smrčková/Jakub Říha</t>
  </si>
  <si>
    <t>Měsíční přehled nástupů, výstupů a aktuálního Headcountu</t>
  </si>
  <si>
    <t>Luboš Vorlík</t>
  </si>
  <si>
    <t>Reference ve zkušební době</t>
  </si>
  <si>
    <t>Andrea Nikolosová/Eva Mrhálková/Karolina Dudek</t>
  </si>
  <si>
    <t>2x měsíčně</t>
  </si>
  <si>
    <t>Analýza odchodů</t>
  </si>
  <si>
    <t>HR_dist (CZ, SK, PL)</t>
  </si>
  <si>
    <t>1x kvartálně</t>
  </si>
  <si>
    <t>Podklady pro mzdy - OPS</t>
  </si>
  <si>
    <t>Magdalena Bittnerová</t>
  </si>
  <si>
    <t>Podklady pro mzdy - Back office &amp; Cost Control</t>
  </si>
  <si>
    <t>Michaela Kosinerová</t>
  </si>
  <si>
    <t>Počty lidí ve firmě</t>
  </si>
  <si>
    <t>Radek Hora</t>
  </si>
  <si>
    <t>Zůstatky dovolených</t>
  </si>
  <si>
    <t>Martin Hrudník</t>
  </si>
  <si>
    <t>Kvartálně, poslední kvartál každý měsíc</t>
  </si>
  <si>
    <t>HR Bonusy</t>
  </si>
  <si>
    <t>Narovnávání základních mezd</t>
  </si>
  <si>
    <t>Vladimíra Tichá</t>
  </si>
  <si>
    <t>na vyžádání (cca ale 3x měsíčně)</t>
  </si>
  <si>
    <t>Ne</t>
  </si>
  <si>
    <t>Podklady pro ECBR</t>
  </si>
  <si>
    <t>Kateřina Kvapilová</t>
  </si>
  <si>
    <t>na vyžádání</t>
  </si>
  <si>
    <t>Report multisport pro PowerBI</t>
  </si>
  <si>
    <t>Kontrola dat - EGJE vs PowerBI (pro ECBR)</t>
  </si>
  <si>
    <t>Reporty mezd za jednotlivá oddělení</t>
  </si>
  <si>
    <t>Plány dovolených</t>
  </si>
  <si>
    <t>Renata Havlová/Patrik Berger</t>
  </si>
  <si>
    <t>Přehled školení - výkup</t>
  </si>
  <si>
    <t>Michal Mestek/Johana Baráková</t>
  </si>
  <si>
    <t>Doplňování dat (mzdy/PP/úvazek/nástup/SO/PM/manažer)</t>
  </si>
  <si>
    <t>Kateřina Kvapilová/Vladimíra Tichá Tichá/Petra Troubová/...</t>
  </si>
  <si>
    <t>Počty výkupčích za země</t>
  </si>
  <si>
    <t>Počty F&amp;I ve firmě (Customer Service Specialist) - podle zemí</t>
  </si>
  <si>
    <t>Pavel Janek</t>
  </si>
  <si>
    <t>Přehled výkupčích pro recenze na Google</t>
  </si>
  <si>
    <t>Jitka Míková</t>
  </si>
  <si>
    <t>Počty F&amp;I ve firmě i s vynětím (Maternity leave)</t>
  </si>
  <si>
    <t>Kateřina Čenková</t>
  </si>
  <si>
    <r>
      <rPr>
        <sz val="11"/>
        <color rgb="FF000000"/>
        <rFont val="Aptos Narrow"/>
        <family val="2"/>
      </rPr>
      <t xml:space="preserve">Zadávání Tel. čísel za Renatu Liškovou (k 19. 2. 2025 - </t>
    </r>
    <r>
      <rPr>
        <b/>
        <sz val="11"/>
        <color rgb="FFFF0000"/>
        <rFont val="Aptos Narrow"/>
        <family val="2"/>
      </rPr>
      <t>229</t>
    </r>
    <r>
      <rPr>
        <sz val="11"/>
        <color rgb="FF000000"/>
        <rFont val="Aptos Narrow"/>
        <family val="2"/>
      </rPr>
      <t xml:space="preserve"> čísel)</t>
    </r>
  </si>
  <si>
    <t>aktivita</t>
  </si>
  <si>
    <t>Názvy pozic ve firmě za různé divize</t>
  </si>
  <si>
    <t>Na vyžádání (leden 5x, únor 4x)</t>
  </si>
  <si>
    <t>Počty zaměstnanců pro IT (Jan Rak)</t>
  </si>
  <si>
    <t>Jan Rak</t>
  </si>
  <si>
    <t>Na vyžádání</t>
  </si>
  <si>
    <t>Vytváření nových pozic kvůli mzdové struktuře</t>
  </si>
  <si>
    <t>Dohledávání RQ, které nejsou schválené v PL</t>
  </si>
  <si>
    <t>M. Gałkiewicz</t>
  </si>
  <si>
    <t>Vytváření PM bez RQ (převážně M. Vladyková)</t>
  </si>
  <si>
    <t>Na vyžádání (cca 10x měsíčně)</t>
  </si>
  <si>
    <t>Report s počtem prodejců na pobočkách a po zemích</t>
  </si>
  <si>
    <t>N. Erbenová</t>
  </si>
  <si>
    <t>Narovnávání chyb - špatně zadaný profil (nepracuje tu, někdo z CZ persa udělal smlouvu na PL. CZ je neviděli a PL o ní nevěděli)</t>
  </si>
  <si>
    <t>Vysvětlování, jak zadávat IM (M. Vladyková)</t>
  </si>
  <si>
    <t>1x - 2x měsíčně</t>
  </si>
  <si>
    <t>Narovnávání staff planu, kdy Perso špatně posazuje (leden - 61 oprav)</t>
  </si>
  <si>
    <t>Nedoplňování zkušební doby (report je pak potřeba manuálně dodělat)</t>
  </si>
  <si>
    <t>Chyby v reportech u ukončených osob (mají být ukončení, ale nejsou)</t>
  </si>
  <si>
    <t>Občas</t>
  </si>
  <si>
    <t>Report IČAřů kvůli porovnání, kdo nám fakturuje</t>
  </si>
  <si>
    <t>Patrik Berger</t>
  </si>
  <si>
    <t>Sledování a oprava chyb v analýze odchodů (prosinec 16 chyb)</t>
  </si>
  <si>
    <t>Perso</t>
  </si>
  <si>
    <t>kvartálně</t>
  </si>
  <si>
    <t>Řešení chyb ohledně ročního hodnocení zaměstnanců s dodavatelem systému</t>
  </si>
  <si>
    <t>ESP</t>
  </si>
  <si>
    <t>občas</t>
  </si>
  <si>
    <t>Pomoc s výstupem na ročního hodnocení Johance</t>
  </si>
  <si>
    <t>Zadávání faktur za Canadian Medical</t>
  </si>
  <si>
    <t>Pomáhání s nastavováním kmenových PV v PL</t>
  </si>
  <si>
    <t>Perso PL</t>
  </si>
  <si>
    <t>Školení nových asistentek na EGJE (i stávajících)</t>
  </si>
  <si>
    <t>Narovnávání názvů pozic kvůli aplikacím</t>
  </si>
  <si>
    <t>Soňa Richterová</t>
  </si>
  <si>
    <t>Kvartálně</t>
  </si>
  <si>
    <t>Stahování staff planů pro manažery za jejich divizní</t>
  </si>
  <si>
    <t>Klufa, Berger, ...</t>
  </si>
  <si>
    <t>Přejmenování pozic u CC kvůli základním mzdám</t>
  </si>
  <si>
    <t>Jen jednou</t>
  </si>
  <si>
    <t>Report pro Sales</t>
  </si>
  <si>
    <t>N. Erbenová, D. Luňáček</t>
  </si>
  <si>
    <t>Od 3. 12. 2024 přišlo 60 RQ (6x pro N. Votrubovou, 54x pro V. Smějsíka)</t>
  </si>
  <si>
    <t>HR Reporty</t>
  </si>
  <si>
    <t>Kdo</t>
  </si>
  <si>
    <t>typ</t>
  </si>
  <si>
    <t>Poznámka</t>
  </si>
  <si>
    <t>Report pro Sales (různá zadání)</t>
  </si>
  <si>
    <t>Vojtěch Smějsík</t>
  </si>
  <si>
    <t>adhoc</t>
  </si>
  <si>
    <t>Mají na to práva</t>
  </si>
  <si>
    <t>Automatizace</t>
  </si>
  <si>
    <t>Měsíční přehled nástupů, výstupů a aktuálního Headcountu + PN</t>
  </si>
  <si>
    <t>vydefinované zadání</t>
  </si>
  <si>
    <t>Zbytečné / automatizace</t>
  </si>
  <si>
    <t>Oprava Analýzy odchodů (podklady pro fluktuaci)</t>
  </si>
  <si>
    <t>následek chybných vstupů</t>
  </si>
  <si>
    <t>Audit</t>
  </si>
  <si>
    <t>Kontrola staff planů</t>
  </si>
  <si>
    <t>IČO lidi a jejich SO + řešení oprav</t>
  </si>
  <si>
    <t>Počty F&amp;I ve firmě (kvůli reportům pro ČNB) + dodání dat z e-learningu</t>
  </si>
  <si>
    <t>Počty F&amp;I ve firmě + jejich dosažené vzdělání a trestní rejstřík</t>
  </si>
  <si>
    <t>Jan Jarma</t>
  </si>
  <si>
    <t>Jan Vojtěch/Pavla Smrčková</t>
  </si>
  <si>
    <t>Kateřina Šmausová/Eva Mrhálková/Karolina Dudek</t>
  </si>
  <si>
    <t xml:space="preserve">Kontrola dat - Edunio vs PowerBi (nebo Edunio vs interface) </t>
  </si>
  <si>
    <t>chyby dodavatelů</t>
  </si>
  <si>
    <t>2x ročně</t>
  </si>
  <si>
    <t>Převzal si P. Berger</t>
  </si>
  <si>
    <t>Poslední report v prosinci</t>
  </si>
  <si>
    <t>Vyřazování z TP</t>
  </si>
  <si>
    <t>Už není TP</t>
  </si>
  <si>
    <t>Kontrola KP vs Číselník EGJE</t>
  </si>
  <si>
    <t>Kontrola číselníku pozic vs číselník EGJE</t>
  </si>
  <si>
    <t>Narovnávání počtu pozic ve firmě s Vlaďkou</t>
  </si>
  <si>
    <t>Report na benefitky</t>
  </si>
  <si>
    <t>CC</t>
  </si>
  <si>
    <t>Vojtěch Smějsík/Michaela Piskáčková</t>
  </si>
  <si>
    <t>Report multisport</t>
  </si>
  <si>
    <t>ne</t>
  </si>
  <si>
    <t>Report benefitky</t>
  </si>
  <si>
    <t>Report součtu, kolik bylo vyplaceno na benefity</t>
  </si>
  <si>
    <t>HR mothly report (Hired Fired)</t>
  </si>
  <si>
    <t>vedení (Karolína)</t>
  </si>
  <si>
    <t>Report - počty zaměstnanců Abris</t>
  </si>
  <si>
    <t>ano</t>
  </si>
  <si>
    <t>Fluktuace (včetně všech prezentací)</t>
  </si>
  <si>
    <t>vedení, divizní atd.</t>
  </si>
  <si>
    <t>Počty zaměstnanců pro bankovní reporting</t>
  </si>
  <si>
    <t>Ondřej Pulchart</t>
  </si>
  <si>
    <t>Počty zaměstnanců</t>
  </si>
  <si>
    <t>DD reporting (data z Egje)</t>
  </si>
  <si>
    <t>ORG Chart (Group + HR)</t>
  </si>
  <si>
    <t>zveřejnujeme na intanetu</t>
  </si>
  <si>
    <t>eNPS</t>
  </si>
  <si>
    <r>
      <t>HR, Johanka-</t>
    </r>
    <r>
      <rPr>
        <sz val="11"/>
        <color theme="1"/>
        <rFont val="Calibri"/>
        <family val="2"/>
        <charset val="238"/>
      </rPr>
      <t>&gt;</t>
    </r>
    <r>
      <rPr>
        <sz val="11"/>
        <color theme="1"/>
        <rFont val="Aptos Narrow"/>
        <family val="2"/>
        <charset val="238"/>
      </rPr>
      <t>divize</t>
    </r>
  </si>
  <si>
    <t>ESG reporting  (data z Egje)</t>
  </si>
  <si>
    <t>KPMG</t>
  </si>
  <si>
    <t>1x ročně</t>
  </si>
  <si>
    <t>rozpad v další záložce</t>
  </si>
  <si>
    <t>ESG reporting</t>
  </si>
  <si>
    <t xml:space="preserve">ESG reporting </t>
  </si>
  <si>
    <t>Michal Mestek</t>
  </si>
  <si>
    <t>Hired Fired</t>
  </si>
  <si>
    <t>IT + dist skup.</t>
  </si>
  <si>
    <t>1x týdně</t>
  </si>
  <si>
    <t>Kateřina Šmausová</t>
  </si>
  <si>
    <t>report pro Insurence -  ukončení lidé za předchozí měsíc</t>
  </si>
  <si>
    <t>pojistky</t>
  </si>
  <si>
    <t>revize nutnosti</t>
  </si>
  <si>
    <t>Wage ukončených lidí pro Káju</t>
  </si>
  <si>
    <t>Karolína Topolová</t>
  </si>
  <si>
    <t>Refferal Bonusy</t>
  </si>
  <si>
    <t xml:space="preserve">Náborové příspěvky </t>
  </si>
  <si>
    <t>do mezd/ Jitka Hořejší</t>
  </si>
  <si>
    <t>Monitoring budoucího ukončení - interně - posílá se generalistům</t>
  </si>
  <si>
    <t>interně - posílá se generalistům</t>
  </si>
  <si>
    <t>Kontrolní mechanismy</t>
  </si>
  <si>
    <t>Lékařské prohlídky - ukončení</t>
  </si>
  <si>
    <t>Kontrola kompletnosti dat,</t>
  </si>
  <si>
    <t>Přihlášení a odhlášení cizinců</t>
  </si>
  <si>
    <t>další kontrolní mechanismy</t>
  </si>
  <si>
    <t xml:space="preserve">Report faktur za lékařské prohlídky </t>
  </si>
  <si>
    <t>Reference pro Káju</t>
  </si>
  <si>
    <t>Poklady pro mzdy - zpracuje Vojta a pak Kačka</t>
  </si>
  <si>
    <t>Report nástupy a přestupy pro interní komunikaci - Vlaďka pak posílá</t>
  </si>
  <si>
    <t>Report oblečení - vratky</t>
  </si>
  <si>
    <t>Miroslava Válková</t>
  </si>
  <si>
    <t>TTH</t>
  </si>
  <si>
    <t>Petr Vaněček, Martin Hrudník</t>
  </si>
  <si>
    <t>Zuzana Voborníková</t>
  </si>
  <si>
    <t>Automatizováno, ušetřeno 1hod</t>
  </si>
  <si>
    <t>Kompetenční model</t>
  </si>
  <si>
    <t>ATS automaticky, zatím nepoužíváme</t>
  </si>
  <si>
    <t>Přehled tréninkových aktivit (EGJE, Edunio)</t>
  </si>
  <si>
    <t>Vedení, Martin Hrudník</t>
  </si>
  <si>
    <t>aktuálně neděláme, nemají žádný pravidelný reporting</t>
  </si>
  <si>
    <t>Manuální vstupy Talent pool</t>
  </si>
  <si>
    <t>Vedení, divize</t>
  </si>
  <si>
    <t>Michal Mestek (tým trenérů)</t>
  </si>
  <si>
    <t>cca 10 minut na účastníka a měsíc</t>
  </si>
  <si>
    <t>DataEntry</t>
  </si>
  <si>
    <t>Vacancy report</t>
  </si>
  <si>
    <t>HR, Zuzana Voborníková -&gt;divize, vedení</t>
  </si>
  <si>
    <t>Tým HR generalistů  všech zemí</t>
  </si>
  <si>
    <t>cca 1 hod týdně na generalistu.
Ondra automatizoval - přenos dat z ATS do aplikace</t>
  </si>
  <si>
    <t>Opv53faaa - Internal moves</t>
  </si>
  <si>
    <t>Lucie Tvrdíková</t>
  </si>
  <si>
    <t>1 hod</t>
  </si>
  <si>
    <t>Internal moves - práva na intranet</t>
  </si>
  <si>
    <t>RegZec (měsíční report)</t>
  </si>
  <si>
    <t>2 hod</t>
  </si>
  <si>
    <t>Podklady pro opravu v EGJE. Dočasný report, před novou legislativou</t>
  </si>
  <si>
    <t>Chapter</t>
  </si>
  <si>
    <t>Topic</t>
  </si>
  <si>
    <t>Name</t>
  </si>
  <si>
    <t xml:space="preserve">Responsible person </t>
  </si>
  <si>
    <t>People</t>
  </si>
  <si>
    <t>Number of employees</t>
  </si>
  <si>
    <t>Počet zaměstnanců podle země</t>
  </si>
  <si>
    <t>Number of employees by country</t>
  </si>
  <si>
    <t>Zaměstnanci podle typu pracovního úvazku</t>
  </si>
  <si>
    <t>Employees by type of contract</t>
  </si>
  <si>
    <t>Struktura zaměstnanců podle pohlaví</t>
  </si>
  <si>
    <t>Employee structure by gender</t>
  </si>
  <si>
    <t>Struktura managementu podle pohlaví</t>
  </si>
  <si>
    <t>Management structure by gender</t>
  </si>
  <si>
    <t>Employment practices</t>
  </si>
  <si>
    <t>Roční fluktuace zaměstnanců podle země</t>
  </si>
  <si>
    <t>Annual employee turnover by country</t>
  </si>
  <si>
    <t>Hodnocení náborového procesu (Recruiter rating score)</t>
  </si>
  <si>
    <t>Recruiter rating score</t>
  </si>
  <si>
    <t>Roční fluktuace zaměstnanců podle typu pracovní pozice</t>
  </si>
  <si>
    <t>Annual employee turnover by job type</t>
  </si>
  <si>
    <t>Training and development</t>
  </si>
  <si>
    <t>% zaměstnanců s provedeným hodnocením výkonu</t>
  </si>
  <si>
    <t>% of employees with performance evaluation</t>
  </si>
  <si>
    <t>Školení podle oblasti zaměření</t>
  </si>
  <si>
    <t>Trainings by area of focus</t>
  </si>
  <si>
    <t>Počet hodin školení a počet účastníků školení</t>
  </si>
  <si>
    <t>Training hours and training attendees</t>
  </si>
  <si>
    <t>Počet hodin školení na zaměstnance</t>
  </si>
  <si>
    <t>Training hours per employee</t>
  </si>
  <si>
    <t>Diversity and inclusion</t>
  </si>
  <si>
    <t>Zaměstnanci podle státní příslušnosti (každá země samostatně)</t>
  </si>
  <si>
    <t>Employees by nationality (each country separate)</t>
  </si>
  <si>
    <t>Věková struktura zaměstnanců</t>
  </si>
  <si>
    <t>Age structure of employees</t>
  </si>
  <si>
    <t>Věková struktura managementu</t>
  </si>
  <si>
    <t>Age structure of management</t>
  </si>
  <si>
    <t>Health and Safety</t>
  </si>
  <si>
    <t>Pracovní úrazy</t>
  </si>
  <si>
    <t xml:space="preserve">Martina Kahulová </t>
  </si>
  <si>
    <t>Work accidents</t>
  </si>
  <si>
    <t>ESRS Alternative datapoints</t>
  </si>
  <si>
    <t>Pohlaví (S1-6)</t>
  </si>
  <si>
    <t xml:space="preserve">za 2024 nepovinné </t>
  </si>
  <si>
    <t>Gender (S1-6)</t>
  </si>
  <si>
    <t>Fluktuace zaměstnanců (S1-6)</t>
  </si>
  <si>
    <t>Turnover (S1-6)</t>
  </si>
  <si>
    <t>Nezaměstnanci / externí pracovníci (S1-7)</t>
  </si>
  <si>
    <t>Non-employees (S1-7)</t>
  </si>
  <si>
    <t>Sociální ochrana (S1-11)</t>
  </si>
  <si>
    <t>Social protection (S1-11)</t>
  </si>
  <si>
    <t>Vzdělávání a rozvoj (S1-13)</t>
  </si>
  <si>
    <t>Training (S1-13)</t>
  </si>
  <si>
    <t>Recipients</t>
  </si>
  <si>
    <t>KPI</t>
  </si>
  <si>
    <t>Source</t>
  </si>
  <si>
    <t>Definition</t>
  </si>
  <si>
    <t>Formula</t>
  </si>
  <si>
    <t>Frequency</t>
  </si>
  <si>
    <t>Owner</t>
  </si>
  <si>
    <t>Risk analysis.</t>
  </si>
  <si>
    <t>Business Impact</t>
  </si>
  <si>
    <t>Target</t>
  </si>
  <si>
    <t>Green Threshold</t>
  </si>
  <si>
    <t>Acceptable</t>
  </si>
  <si>
    <t>Red Threshold</t>
  </si>
  <si>
    <t>Trend (MoM/YoY)</t>
  </si>
  <si>
    <t>Action if Off Track</t>
  </si>
  <si>
    <t>BI section (with dif. views)</t>
  </si>
  <si>
    <t>B0-B1</t>
  </si>
  <si>
    <t>Wage KPI</t>
  </si>
  <si>
    <t>Payroll</t>
  </si>
  <si>
    <t>yearly</t>
  </si>
  <si>
    <t>↓</t>
  </si>
  <si>
    <t>acc. to budget</t>
  </si>
  <si>
    <t>YoY trend</t>
  </si>
  <si>
    <t>I.</t>
  </si>
  <si>
    <t>CAP KPI</t>
  </si>
  <si>
    <t>HR reporting</t>
  </si>
  <si>
    <t>HC, FT per divison</t>
  </si>
  <si>
    <t>HRIS</t>
  </si>
  <si>
    <t>Size of the dpt, division. HC/FTE vs budget.</t>
  </si>
  <si>
    <t>HC, FTE per dpts. Increase/decrease incl. WF cost (fix, variable, non-pers. cost).</t>
  </si>
  <si>
    <t>Is longterm workforce planning efitient? Impact of potential optimization.</t>
  </si>
  <si>
    <t>Wage cost control, over/understaffing</t>
  </si>
  <si>
    <t>Hiring freeze for BO, optimization.</t>
  </si>
  <si>
    <t>Avg. wage</t>
  </si>
  <si>
    <t>Avg. wage per employee (FTE) tracked over the year  -to see the trend per dpt., dividion</t>
  </si>
  <si>
    <t>Total wage cost/FTE per division, dpt.</t>
  </si>
  <si>
    <t>Margin pressure, cost per sold car.</t>
  </si>
  <si>
    <t>flat</t>
  </si>
  <si>
    <t>Time to fill</t>
  </si>
  <si>
    <t>Recru reporting</t>
  </si>
  <si>
    <t>Lenght of the hiring process. Avg, number of days from job adv. approval to accepted offer,</t>
  </si>
  <si>
    <t>Days to fill positions/no. of hires</t>
  </si>
  <si>
    <t>monthly</t>
  </si>
  <si>
    <t>Recruiting dpt.</t>
  </si>
  <si>
    <t>Is workforce planning efitient?</t>
  </si>
  <si>
    <t>Lost revenue due to vacancy, team oveload - increae attrition risk.</t>
  </si>
  <si>
    <t>MoM trend</t>
  </si>
  <si>
    <t>B0-B2</t>
  </si>
  <si>
    <t>Time to fill of the critical riole</t>
  </si>
  <si>
    <t>Avg, time to fill business-critical (key) roles</t>
  </si>
  <si>
    <t>Days to fill key positions/no. of hires</t>
  </si>
  <si>
    <t>Recruitment eficiency</t>
  </si>
  <si>
    <t>Leadership gap.</t>
  </si>
  <si>
    <t>II.</t>
  </si>
  <si>
    <t>B1-B3</t>
  </si>
  <si>
    <t>Time to Productivity</t>
  </si>
  <si>
    <t>Time to fill performance</t>
  </si>
  <si>
    <t>Hire to target performance</t>
  </si>
  <si>
    <t>quaterly</t>
  </si>
  <si>
    <t>Recru&amp;Business</t>
  </si>
  <si>
    <t>When does hiring generate value?</t>
  </si>
  <si>
    <t>Delayed ROI</t>
  </si>
  <si>
    <t>Cost per Hire</t>
  </si>
  <si>
    <t>Avg, cost of hiring one employee (internal&amp;external).</t>
  </si>
  <si>
    <t>Recruiting dept.</t>
  </si>
  <si>
    <t>16000 CZK</t>
  </si>
  <si>
    <t>17000 CZK</t>
  </si>
  <si>
    <t>18000 CZK</t>
  </si>
  <si>
    <t>Fluctuation rate</t>
  </si>
  <si>
    <t>No. of leavers</t>
  </si>
  <si>
    <t>Leavers / HC plus trend and direction (resignation vs dismissal)</t>
  </si>
  <si>
    <t>half-yearly</t>
  </si>
  <si>
    <t>Where are we losing people and why?</t>
  </si>
  <si>
    <t>Cost of attrition (new onboarding) + instability</t>
  </si>
  <si>
    <t>Improve hiring process</t>
  </si>
  <si>
    <t>III.</t>
  </si>
  <si>
    <t>Fluctuation rate crit. pos.</t>
  </si>
  <si>
    <t>No. of leavers - key/critical positions</t>
  </si>
  <si>
    <t>List of bus. critical (key) position, trend.</t>
  </si>
  <si>
    <t xml:space="preserve">Where are we losing people and why? Aspect of supervisor. </t>
  </si>
  <si>
    <t>Production gap, instabilitiy.</t>
  </si>
  <si>
    <t>Retention</t>
  </si>
  <si>
    <t>Succession rate</t>
  </si>
  <si>
    <t>Talent Pool</t>
  </si>
  <si>
    <t>Key positions with successor</t>
  </si>
  <si>
    <t>Roles with successor / critical roles</t>
  </si>
  <si>
    <t>Training dpt.</t>
  </si>
  <si>
    <t>Are we protected against leadership gaps?</t>
  </si>
  <si>
    <t>Strategic risk</t>
  </si>
  <si>
    <t>↑</t>
  </si>
  <si>
    <t>≥80%</t>
  </si>
  <si>
    <t>60-79%</t>
  </si>
  <si>
    <t>&lt;60%</t>
  </si>
  <si>
    <t>QoQ</t>
  </si>
  <si>
    <t>Develop successors</t>
  </si>
  <si>
    <t>IV.</t>
  </si>
  <si>
    <t>Survio</t>
  </si>
  <si>
    <t>Empl. Net Promoter Score - willingnes to recommend company as employer</t>
  </si>
  <si>
    <t>Promoter-Dectrators/all population.</t>
  </si>
  <si>
    <t>Can we improve the empl. satisfactiion to keep the key employees a stabilize teams?</t>
  </si>
  <si>
    <t>Engagement, retention, employer brand.</t>
  </si>
  <si>
    <t>V.</t>
  </si>
  <si>
    <t>general</t>
  </si>
  <si>
    <t>HR statistcis</t>
  </si>
  <si>
    <t>HC, FTE, demographics, gander pay gap, DEI,...</t>
  </si>
  <si>
    <t>Agregated HR data set</t>
  </si>
  <si>
    <t>to be informed</t>
  </si>
  <si>
    <t>B3</t>
  </si>
  <si>
    <t>Sickness rate</t>
  </si>
  <si>
    <t>Percentage of absence due to sickness</t>
  </si>
  <si>
    <t>Sick days/ FTE</t>
  </si>
  <si>
    <t>Productivity loss, lost increase</t>
  </si>
  <si>
    <t>VI.</t>
  </si>
  <si>
    <t>Shifts - "coverage"</t>
  </si>
  <si>
    <t>Percentage  of planned shifts fully covered by employees.</t>
  </si>
  <si>
    <t>covered shifts/planned shifts</t>
  </si>
  <si>
    <t>VII.</t>
  </si>
  <si>
    <t>HC, FTE, HR stat.</t>
  </si>
  <si>
    <t xml:space="preserve">Celkový headcount </t>
  </si>
  <si>
    <t>aktuální + trend</t>
  </si>
  <si>
    <t xml:space="preserve">FTE </t>
  </si>
  <si>
    <t>Struktura podle:</t>
  </si>
  <si>
    <t>Země / pobočky</t>
  </si>
  <si>
    <t>Divize / oddělení</t>
  </si>
  <si>
    <t>MNG lvl</t>
  </si>
  <si>
    <t>Demografie:</t>
  </si>
  <si>
    <t xml:space="preserve"> tohle by možná nemělo v praxi využitelnost a šlo by zařadit pod ESG</t>
  </si>
  <si>
    <t>věk</t>
  </si>
  <si>
    <t>gender</t>
  </si>
  <si>
    <t>Národnost</t>
  </si>
  <si>
    <t>Recruitment</t>
  </si>
  <si>
    <t>Time to hire</t>
  </si>
  <si>
    <t>Cost per hire</t>
  </si>
  <si>
    <t>Source of hire</t>
  </si>
  <si>
    <t xml:space="preserve">Conversion funnel </t>
  </si>
  <si>
    <t>CV → interview → offer → hire</t>
  </si>
  <si>
    <t>Offer acceptance rate</t>
  </si>
  <si>
    <t>Fluktuace + Analýza odchodů</t>
  </si>
  <si>
    <t>Celková fluktuace (%)</t>
  </si>
  <si>
    <t xml:space="preserve">Dobrovolná vs. Nedobrovolná </t>
  </si>
  <si>
    <t>Země / regiony /pobočky</t>
  </si>
  <si>
    <t>Fluktuace podle:</t>
  </si>
  <si>
    <t>Grading</t>
  </si>
  <si>
    <t>délka zaměstnání</t>
  </si>
  <si>
    <t>Důvody odchodů</t>
  </si>
  <si>
    <t>Výkonnost + rozvoj</t>
  </si>
  <si>
    <t>Interní mobilita / povýšení</t>
  </si>
  <si>
    <t>Succession pipeline</t>
  </si>
  <si>
    <t>Talent pool</t>
  </si>
  <si>
    <t>Learning + Development</t>
  </si>
  <si>
    <t>Počet školení</t>
  </si>
  <si>
    <t>Tréninkové hodiny / zaměstnanec</t>
  </si>
  <si>
    <t>Účast na školeních</t>
  </si>
  <si>
    <t>Náklady na vzdělávání</t>
  </si>
  <si>
    <t>Engagement &amp; spokojenost</t>
  </si>
  <si>
    <t>Participation rate</t>
  </si>
  <si>
    <t>kolik lidí vůbec odpovídá</t>
  </si>
  <si>
    <t>Trendy v čase</t>
  </si>
  <si>
    <t>Absence &amp; wellbeing</t>
  </si>
  <si>
    <t>Absence rate</t>
  </si>
  <si>
    <t>Nemocnost</t>
  </si>
  <si>
    <t>Dlouhodobé absence</t>
  </si>
  <si>
    <t>Compensation &amp; Benefits</t>
  </si>
  <si>
    <t>Mzdové náklady (celkem / na FTE)</t>
  </si>
  <si>
    <t>Salary benchmarking</t>
  </si>
  <si>
    <t>Gender pay gap</t>
  </si>
  <si>
    <t>Diversity, Equity &amp; Inclusion (DEI) + ESG</t>
  </si>
  <si>
    <t>Gender balance</t>
  </si>
  <si>
    <t>Diverzita podle úrovní</t>
  </si>
  <si>
    <t>Pay gap</t>
  </si>
  <si>
    <t>Zastoupení v leadershipu</t>
  </si>
  <si>
    <t>HR operativa</t>
  </si>
  <si>
    <t>HR cost per employee</t>
  </si>
  <si>
    <t>Příjemci</t>
  </si>
  <si>
    <t>Zdroj</t>
  </si>
  <si>
    <t>Definice</t>
  </si>
  <si>
    <t>Vzorec</t>
  </si>
  <si>
    <t>Frekvence</t>
  </si>
  <si>
    <t>Vlastník</t>
  </si>
  <si>
    <t>Analýza rizik</t>
  </si>
  <si>
    <t>Dopad na byznys</t>
  </si>
  <si>
    <t>Cíl</t>
  </si>
  <si>
    <t>Zelená (OK)</t>
  </si>
  <si>
    <t>Přijatelné</t>
  </si>
  <si>
    <t>Červená (Kritické)</t>
  </si>
  <si>
    <t>Trend</t>
  </si>
  <si>
    <t>Akce při neplnění</t>
  </si>
  <si>
    <t>Sekce BI</t>
  </si>
  <si>
    <t>Mzdové KPI</t>
  </si>
  <si>
    <t>Mzdové náklady</t>
  </si>
  <si>
    <t>Celkové mzdové náklady</t>
  </si>
  <si>
    <t>ročně</t>
  </si>
  <si>
    <t>Je plánování nákladů efektivní?</t>
  </si>
  <si>
    <t>Kontrola nákladů</t>
  </si>
  <si>
    <t>YoY</t>
  </si>
  <si>
    <t>HC, FTE na divizi</t>
  </si>
  <si>
    <t>Velikost oddělení. Skutečnost vs. rozpočet.</t>
  </si>
  <si>
    <t>Počet zaměstnanců na divizi. Nárůst/pokles nákladů.</t>
  </si>
  <si>
    <t>Efektivita plánování? Dopad optimalizace.</t>
  </si>
  <si>
    <t>Přezaměstnanost / podstav</t>
  </si>
  <si>
    <t>dle rozpočtu</t>
  </si>
  <si>
    <t>Stop stav náborů, optimalizace</t>
  </si>
  <si>
    <t>Průměrná mzda</t>
  </si>
  <si>
    <t>Průměrná mzda na úvazek (FTE)</t>
  </si>
  <si>
    <t>Celkové mzdové náklady / FTE na divizi</t>
  </si>
  <si>
    <t>Tlak na marži, náklady</t>
  </si>
  <si>
    <t>Doba obsazení</t>
  </si>
  <si>
    <t>Nábor</t>
  </si>
  <si>
    <t>Počet dní od schválení pozice po přijetí nabídky</t>
  </si>
  <si>
    <t>Dny do obsazení / počet náborů</t>
  </si>
  <si>
    <t>měsíčně</t>
  </si>
  <si>
    <t>Náborové odd.</t>
  </si>
  <si>
    <t>Efektivita plánování?</t>
  </si>
  <si>
    <t>Ztráta výnosů kvůli neobsazení</t>
  </si>
  <si>
    <t>MoM</t>
  </si>
  <si>
    <t>Doba obsazení (kritické)</t>
  </si>
  <si>
    <t>Průměrná doba obsazení klíčových rolí</t>
  </si>
  <si>
    <t>Dny do obsazení klíč. rolí / počet náborů</t>
  </si>
  <si>
    <t>Efektivita náboru</t>
  </si>
  <si>
    <t>Mezera ve vedení</t>
  </si>
  <si>
    <t>Čas do produktivity</t>
  </si>
  <si>
    <t>Výkon v čase náboru</t>
  </si>
  <si>
    <t>Nástup vs. cílový výkon</t>
  </si>
  <si>
    <t>čtvrtletně</t>
  </si>
  <si>
    <t>Nábor &amp; Byznys</t>
  </si>
  <si>
    <t>Kdy začne nováček generovat hodnotu?</t>
  </si>
  <si>
    <t>Opožděná návratnost (ROI)</t>
  </si>
  <si>
    <t>Náklady na nábor</t>
  </si>
  <si>
    <t>Průměrné náklady na nábor (interní i externí)</t>
  </si>
  <si>
    <t>Celkové náklady na nábor / počet náborů</t>
  </si>
  <si>
    <t>Míra fluktuace</t>
  </si>
  <si>
    <t>Počet odchodů</t>
  </si>
  <si>
    <t>Odchody / HC + směr (výpověď vs. dohoda)</t>
  </si>
  <si>
    <t>pololetně</t>
  </si>
  <si>
    <t>Kde ztrácíme lidi a proč?</t>
  </si>
  <si>
    <t>Náklady na nábor a onboarding</t>
  </si>
  <si>
    <t>Zlepšit náborový proces</t>
  </si>
  <si>
    <t>Fluktuace (krit. pozice)</t>
  </si>
  <si>
    <t>Odchody z klíčových pozic</t>
  </si>
  <si>
    <t>Seznam odchodů z kritických rolí</t>
  </si>
  <si>
    <t>Aspekt nadřízeného</t>
  </si>
  <si>
    <t>Výpadky v produkci, nestabilita</t>
  </si>
  <si>
    <t>Retence (udržení)</t>
  </si>
  <si>
    <t>Míra nástupnictví</t>
  </si>
  <si>
    <t>Klíčové pozice s nástupcem</t>
  </si>
  <si>
    <t>Role s nástupcem / kritické role</t>
  </si>
  <si>
    <t>Vzdělávání</t>
  </si>
  <si>
    <t>Ochrana před výpadky vedení</t>
  </si>
  <si>
    <t>Strategické riziko</t>
  </si>
  <si>
    <t>≥ 80%</t>
  </si>
  <si>
    <t>&lt; 60%</t>
  </si>
  <si>
    <t>Rozvoj nástupců</t>
  </si>
  <si>
    <t>Loajalita a ochota doporučit firmu</t>
  </si>
  <si>
    <t>Promotoři - Detraktoři / celková populace</t>
  </si>
  <si>
    <t>Spokojenost klíčových lidí</t>
  </si>
  <si>
    <t>Angažovanost, značka zaměstnavatele</t>
  </si>
  <si>
    <t>obecné</t>
  </si>
  <si>
    <t>HR statistiky</t>
  </si>
  <si>
    <t>HC, FTE, demografie, rozdíly v odměňování</t>
  </si>
  <si>
    <t>Agregovaný HR datový set</t>
  </si>
  <si>
    <t>k informaci</t>
  </si>
  <si>
    <t>Procento absencí kvůli nemoci</t>
  </si>
  <si>
    <t>Dny nemoci / FTE</t>
  </si>
  <si>
    <t>Ztráta produktivity</t>
  </si>
  <si>
    <t>Pokrytí směn</t>
  </si>
  <si>
    <t>Procento plánovaných směn plně obsazených</t>
  </si>
  <si>
    <t>Obsazené směny / plánované směny</t>
  </si>
  <si>
    <t>Ztráta konverze, zákaznická zkušenost</t>
  </si>
  <si>
    <t>#</t>
  </si>
  <si>
    <t>Report</t>
  </si>
  <si>
    <r>
      <t>Nástupy a Odchody</t>
    </r>
    <r>
      <rPr>
        <sz val="11"/>
        <color theme="1"/>
        <rFont val="Aptos"/>
        <family val="2"/>
      </rPr>
      <t xml:space="preserve"> </t>
    </r>
  </si>
  <si>
    <t>informace pro IT, ale i další oddělení ve firmě která potřebují vědět o nástupech a ukončení zaměstnanců, licence, práva, přístupy…</t>
  </si>
  <si>
    <t>různé pohledy</t>
  </si>
  <si>
    <r>
      <t>Interní přestupy</t>
    </r>
    <r>
      <rPr>
        <sz val="11"/>
        <color theme="1"/>
        <rFont val="Aptos"/>
        <family val="2"/>
      </rPr>
      <t xml:space="preserve"> </t>
    </r>
  </si>
  <si>
    <t>(IM) obdobná využitelnost jako Nástupy a Odchody</t>
  </si>
  <si>
    <t>Org. Chart</t>
  </si>
  <si>
    <r>
      <t>HR report</t>
    </r>
    <r>
      <rPr>
        <sz val="11"/>
        <color theme="1"/>
        <rFont val="Aptos"/>
        <family val="2"/>
      </rPr>
      <t xml:space="preserve"> </t>
    </r>
  </si>
  <si>
    <t>(Hired Fired pro Káju a vedení)</t>
  </si>
  <si>
    <r>
      <rPr>
        <sz val="11"/>
        <rFont val="Aptos"/>
        <family val="2"/>
      </rPr>
      <t>ESG reporting</t>
    </r>
    <r>
      <rPr>
        <sz val="11"/>
        <color theme="1"/>
        <rFont val="Aptos"/>
        <family val="2"/>
      </rPr>
      <t xml:space="preserve"> </t>
    </r>
  </si>
  <si>
    <t>všechny pohledy, které jsme povinní dodávat</t>
  </si>
  <si>
    <t>ECBR</t>
  </si>
  <si>
    <t>(nice to have – informace bez nutnosti rozesílání)</t>
  </si>
  <si>
    <t>TTF - máme</t>
  </si>
  <si>
    <t>Talent pool – máme</t>
  </si>
  <si>
    <t>Employeer  Evaluation</t>
  </si>
  <si>
    <t>Qaulity of hiring process</t>
  </si>
  <si>
    <t>B1-B2</t>
  </si>
  <si>
    <t>Range of employer evaluation (AAA) and Manager evaluation after interview</t>
  </si>
  <si>
    <t>Can we improve candidate´s experience?</t>
  </si>
  <si>
    <t>Employer brand</t>
  </si>
  <si>
    <t>Range like Google review - up to 5 stars</t>
  </si>
  <si>
    <t>4 - 5</t>
  </si>
  <si>
    <t>3 - 4</t>
  </si>
  <si>
    <t>2 - 3</t>
  </si>
  <si>
    <t>Recruitment process training for all Hiring Managers</t>
  </si>
  <si>
    <t>When are we loosing people and what quatity?</t>
  </si>
  <si>
    <t>Lost of key people, gap in talent identification.</t>
  </si>
  <si>
    <t xml:space="preserve">Hiring process review, training of all HMs. </t>
  </si>
  <si>
    <t>Kopmetence model for business roles, Fluctuation rate during the onboarding period.</t>
  </si>
  <si>
    <t xml:space="preserve">Rating in Kompetence model, early fluctuation rate. </t>
  </si>
  <si>
    <t>Conversion loss, CEX.</t>
  </si>
  <si>
    <t>mothly</t>
  </si>
  <si>
    <t>No of employees in/out per division, country, ….</t>
  </si>
  <si>
    <t>Untaken Holiday</t>
  </si>
  <si>
    <t>No of unused vacation days per employee (dpts, divisions).</t>
  </si>
  <si>
    <t>Higher financial cost (provisio needed), burnout.</t>
  </si>
  <si>
    <t>Productivity, provision.</t>
  </si>
  <si>
    <t>0 for actual year (proportionaly)</t>
  </si>
  <si>
    <t>Total remaining vacation days vs planned for the year,</t>
  </si>
  <si>
    <t>&lt;5 days</t>
  </si>
  <si>
    <t>Monitor and enforce vacation planning.</t>
  </si>
  <si>
    <t>Talent&amp;Growth potential</t>
  </si>
  <si>
    <t>Annual app.</t>
  </si>
  <si>
    <t>Range of the evaluataion (ability to take more resp.)</t>
  </si>
  <si>
    <t>VIII.</t>
  </si>
  <si>
    <t>Priorita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</si>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</sst>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0&quot; hod&quot;"/>
    <numFmt numFmtId="166" formatCode="0.0&quot; hod&quot;"/>
    <numFmt numFmtId="167" formatCode="0.00&quot; hod&quot;"/>
  </numFmts>
  <fonts count="28" x14ac:knownFonts="1"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</font>
    <font>
      <sz val="11"/>
      <color theme="1"/>
      <name val="Aptos Narrow"/>
      <family val="2"/>
    </font>
    <font>
      <sz val="11"/>
      <color theme="1"/>
      <name val="Calibri"/>
      <family val="2"/>
      <charset val="238"/>
    </font>
    <font>
      <b/>
      <sz val="11"/>
      <color theme="1"/>
      <name val="Aptos Narrow"/>
      <family val="2"/>
      <charset val="238"/>
      <scheme val="minor"/>
    </font>
    <font>
      <sz val="10"/>
      <color rgb="FF000000"/>
      <name val="Arial"/>
      <family val="2"/>
      <charset val="238"/>
    </font>
    <font>
      <sz val="10"/>
      <color theme="1"/>
      <name val="Times New Roman"/>
      <family val="1"/>
      <charset val="238"/>
    </font>
    <font>
      <sz val="10"/>
      <color theme="1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0"/>
      <color theme="1"/>
      <name val="Arial"/>
      <family val="2"/>
      <charset val="238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1"/>
      <name val="Aptos"/>
      <family val="2"/>
    </font>
    <font>
      <b/>
      <sz val="11"/>
      <color rgb="FF0070C0"/>
      <name val="Aptos"/>
      <family val="2"/>
    </font>
    <font>
      <sz val="11"/>
      <color theme="1"/>
      <name val="Aptos"/>
      <family val="2"/>
      <charset val="238"/>
    </font>
    <font>
      <sz val="11"/>
      <color rgb="FF000000"/>
      <name val="Calibri"/>
      <family val="2"/>
      <charset val="238"/>
    </font>
    <font>
      <sz val="10"/>
      <color theme="1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sz val="10"/>
      <color rgb="FF0070C0"/>
      <name val="Calibri"/>
      <family val="2"/>
      <charset val="238"/>
    </font>
    <font>
      <sz val="10"/>
      <color rgb="FF0070C0"/>
      <name val="Calibri"/>
      <family val="2"/>
      <charset val="238"/>
    </font>
    <font>
      <sz val="10"/>
      <name val="Calibri"/>
      <family val="2"/>
      <charset val="238"/>
    </font>
    <font>
      <sz val="10"/>
      <color theme="1"/>
      <name val="Calibri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6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rgb="FF000000"/>
      </top>
      <bottom/>
      <diagonal/>
    </border>
    <border>
      <left style="thin">
        <color theme="1" tint="0.499984740745262"/>
      </left>
      <right/>
      <top style="medium">
        <color rgb="FF000000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medium">
        <color rgb="FF000000"/>
      </left>
      <right style="thin">
        <color rgb="FF000000"/>
      </right>
      <top/>
      <bottom style="thin">
        <color theme="1" tint="0.499984740745262"/>
      </bottom>
      <diagonal/>
    </border>
    <border>
      <left style="medium">
        <color rgb="FF000000"/>
      </left>
      <right style="thin">
        <color rgb="FF000000"/>
      </right>
      <top style="thin">
        <color theme="1" tint="0.499984740745262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theme="1" tint="0.499984740745262"/>
      </bottom>
      <diagonal/>
    </border>
    <border>
      <left/>
      <right style="thin">
        <color rgb="FF000000"/>
      </right>
      <top style="thin">
        <color theme="1" tint="0.499984740745262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/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</borders>
  <cellStyleXfs count="1">
    <xf numFmtId="0" fontId="0" fillId="0" borderId="0"/>
  </cellStyleXfs>
  <cellXfs count="16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65" fontId="0" fillId="0" borderId="0" xfId="0" applyNumberFormat="1" applyAlignment="1">
      <alignment horizontal="center" wrapText="1"/>
    </xf>
    <xf numFmtId="164" fontId="0" fillId="0" borderId="0" xfId="0" applyNumberFormat="1" applyAlignment="1">
      <alignment wrapText="1"/>
    </xf>
    <xf numFmtId="166" fontId="0" fillId="0" borderId="0" xfId="0" applyNumberFormat="1" applyAlignment="1">
      <alignment horizontal="center" wrapText="1"/>
    </xf>
    <xf numFmtId="167" fontId="0" fillId="0" borderId="0" xfId="0" applyNumberFormat="1" applyAlignment="1">
      <alignment horizontal="center"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2" borderId="0" xfId="0" applyFill="1"/>
    <xf numFmtId="0" fontId="0" fillId="2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0" fillId="3" borderId="0" xfId="0" applyFill="1"/>
    <xf numFmtId="0" fontId="10" fillId="0" borderId="0" xfId="0" applyFont="1" applyAlignment="1">
      <alignment vertical="center"/>
    </xf>
    <xf numFmtId="0" fontId="11" fillId="0" borderId="0" xfId="0" applyFont="1"/>
    <xf numFmtId="0" fontId="11" fillId="4" borderId="0" xfId="0" applyFont="1" applyFill="1"/>
    <xf numFmtId="165" fontId="12" fillId="0" borderId="0" xfId="0" applyNumberFormat="1" applyFont="1" applyAlignment="1">
      <alignment horizontal="center"/>
    </xf>
    <xf numFmtId="0" fontId="0" fillId="5" borderId="0" xfId="0" applyFill="1"/>
    <xf numFmtId="165" fontId="0" fillId="5" borderId="0" xfId="0" applyNumberFormat="1" applyFill="1" applyAlignment="1">
      <alignment horizontal="center"/>
    </xf>
    <xf numFmtId="0" fontId="12" fillId="0" borderId="0" xfId="0" applyFont="1"/>
    <xf numFmtId="0" fontId="0" fillId="5" borderId="0" xfId="0" applyFill="1" applyAlignment="1">
      <alignment wrapText="1"/>
    </xf>
    <xf numFmtId="0" fontId="1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18" fillId="0" borderId="0" xfId="0" applyFont="1" applyAlignment="1">
      <alignment vertical="center"/>
    </xf>
    <xf numFmtId="0" fontId="6" fillId="0" borderId="0" xfId="0" applyFont="1"/>
    <xf numFmtId="0" fontId="19" fillId="0" borderId="0" xfId="0" applyFont="1"/>
    <xf numFmtId="0" fontId="20" fillId="0" borderId="0" xfId="0" applyFont="1"/>
    <xf numFmtId="0" fontId="23" fillId="6" borderId="0" xfId="0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0" fontId="20" fillId="4" borderId="0" xfId="0" applyFont="1" applyFill="1"/>
    <xf numFmtId="0" fontId="24" fillId="0" borderId="0" xfId="0" applyFont="1" applyAlignment="1">
      <alignment vertical="center"/>
    </xf>
    <xf numFmtId="0" fontId="25" fillId="0" borderId="0" xfId="0" applyFont="1"/>
    <xf numFmtId="0" fontId="20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 indent="5"/>
    </xf>
    <xf numFmtId="0" fontId="20" fillId="0" borderId="0" xfId="0" applyFont="1" applyAlignment="1">
      <alignment vertical="center"/>
    </xf>
    <xf numFmtId="0" fontId="26" fillId="0" borderId="0" xfId="0" applyFont="1" applyAlignment="1">
      <alignment horizontal="left" vertical="center" indent="5"/>
    </xf>
    <xf numFmtId="0" fontId="22" fillId="6" borderId="1" xfId="0" applyFont="1" applyFill="1" applyBorder="1" applyAlignment="1">
      <alignment horizontal="center"/>
    </xf>
    <xf numFmtId="0" fontId="22" fillId="6" borderId="2" xfId="0" applyFont="1" applyFill="1" applyBorder="1" applyAlignment="1">
      <alignment horizontal="center"/>
    </xf>
    <xf numFmtId="0" fontId="22" fillId="6" borderId="2" xfId="0" applyFont="1" applyFill="1" applyBorder="1" applyAlignment="1">
      <alignment horizontal="center" wrapText="1"/>
    </xf>
    <xf numFmtId="0" fontId="20" fillId="7" borderId="3" xfId="0" applyFont="1" applyFill="1" applyBorder="1" applyAlignment="1">
      <alignment wrapText="1"/>
    </xf>
    <xf numFmtId="0" fontId="20" fillId="7" borderId="3" xfId="0" applyFont="1" applyFill="1" applyBorder="1" applyAlignment="1">
      <alignment horizontal="center"/>
    </xf>
    <xf numFmtId="0" fontId="21" fillId="8" borderId="5" xfId="0" applyFont="1" applyFill="1" applyBorder="1" applyAlignment="1">
      <alignment horizontal="center" vertical="center"/>
    </xf>
    <xf numFmtId="0" fontId="9" fillId="0" borderId="9" xfId="0" applyFont="1" applyBorder="1" applyAlignment="1">
      <alignment wrapText="1"/>
    </xf>
    <xf numFmtId="0" fontId="9" fillId="0" borderId="9" xfId="0" applyFont="1" applyBorder="1" applyAlignment="1">
      <alignment horizontal="center" wrapText="1"/>
    </xf>
    <xf numFmtId="9" fontId="9" fillId="0" borderId="9" xfId="0" applyNumberFormat="1" applyFont="1" applyBorder="1" applyAlignment="1">
      <alignment horizontal="center" wrapText="1"/>
    </xf>
    <xf numFmtId="0" fontId="11" fillId="9" borderId="9" xfId="0" applyFont="1" applyFill="1" applyBorder="1" applyAlignment="1">
      <alignment wrapText="1"/>
    </xf>
    <xf numFmtId="0" fontId="11" fillId="9" borderId="9" xfId="0" applyFont="1" applyFill="1" applyBorder="1" applyAlignment="1">
      <alignment horizontal="center" wrapText="1"/>
    </xf>
    <xf numFmtId="9" fontId="21" fillId="7" borderId="3" xfId="0" applyNumberFormat="1" applyFont="1" applyFill="1" applyBorder="1" applyAlignment="1">
      <alignment horizontal="center"/>
    </xf>
    <xf numFmtId="0" fontId="21" fillId="7" borderId="3" xfId="0" applyFont="1" applyFill="1" applyBorder="1" applyAlignment="1">
      <alignment horizontal="center"/>
    </xf>
    <xf numFmtId="0" fontId="21" fillId="7" borderId="4" xfId="0" applyFont="1" applyFill="1" applyBorder="1" applyAlignment="1">
      <alignment horizontal="center" wrapText="1"/>
    </xf>
    <xf numFmtId="0" fontId="20" fillId="7" borderId="10" xfId="0" applyFont="1" applyFill="1" applyBorder="1" applyAlignment="1">
      <alignment wrapText="1"/>
    </xf>
    <xf numFmtId="0" fontId="20" fillId="7" borderId="10" xfId="0" applyFont="1" applyFill="1" applyBorder="1" applyAlignment="1">
      <alignment horizontal="center"/>
    </xf>
    <xf numFmtId="0" fontId="20" fillId="7" borderId="12" xfId="0" applyFont="1" applyFill="1" applyBorder="1"/>
    <xf numFmtId="0" fontId="20" fillId="7" borderId="13" xfId="0" applyFont="1" applyFill="1" applyBorder="1"/>
    <xf numFmtId="0" fontId="20" fillId="7" borderId="15" xfId="0" applyFont="1" applyFill="1" applyBorder="1"/>
    <xf numFmtId="0" fontId="20" fillId="7" borderId="16" xfId="0" applyFont="1" applyFill="1" applyBorder="1"/>
    <xf numFmtId="0" fontId="20" fillId="7" borderId="18" xfId="0" applyFont="1" applyFill="1" applyBorder="1"/>
    <xf numFmtId="0" fontId="20" fillId="7" borderId="19" xfId="0" applyFont="1" applyFill="1" applyBorder="1"/>
    <xf numFmtId="0" fontId="27" fillId="0" borderId="0" xfId="0" applyFont="1"/>
    <xf numFmtId="0" fontId="19" fillId="4" borderId="0" xfId="0" applyFont="1" applyFill="1"/>
    <xf numFmtId="0" fontId="0" fillId="4" borderId="0" xfId="0" applyFill="1"/>
    <xf numFmtId="0" fontId="20" fillId="7" borderId="21" xfId="0" applyFont="1" applyFill="1" applyBorder="1" applyAlignment="1">
      <alignment horizontal="center"/>
    </xf>
    <xf numFmtId="0" fontId="20" fillId="7" borderId="21" xfId="0" applyFont="1" applyFill="1" applyBorder="1"/>
    <xf numFmtId="0" fontId="20" fillId="7" borderId="21" xfId="0" applyFont="1" applyFill="1" applyBorder="1" applyAlignment="1">
      <alignment wrapText="1"/>
    </xf>
    <xf numFmtId="0" fontId="20" fillId="7" borderId="23" xfId="0" applyFont="1" applyFill="1" applyBorder="1" applyAlignment="1">
      <alignment horizontal="center"/>
    </xf>
    <xf numFmtId="0" fontId="21" fillId="8" borderId="21" xfId="0" applyFont="1" applyFill="1" applyBorder="1" applyAlignment="1">
      <alignment horizontal="center"/>
    </xf>
    <xf numFmtId="0" fontId="20" fillId="8" borderId="21" xfId="0" applyFont="1" applyFill="1" applyBorder="1"/>
    <xf numFmtId="0" fontId="20" fillId="8" borderId="21" xfId="0" applyFont="1" applyFill="1" applyBorder="1" applyAlignment="1">
      <alignment wrapText="1"/>
    </xf>
    <xf numFmtId="0" fontId="21" fillId="8" borderId="22" xfId="0" applyFont="1" applyFill="1" applyBorder="1" applyAlignment="1">
      <alignment horizontal="center"/>
    </xf>
    <xf numFmtId="0" fontId="20" fillId="8" borderId="21" xfId="0" applyFont="1" applyFill="1" applyBorder="1" applyAlignment="1">
      <alignment horizontal="center"/>
    </xf>
    <xf numFmtId="0" fontId="21" fillId="8" borderId="7" xfId="0" applyFont="1" applyFill="1" applyBorder="1" applyAlignment="1">
      <alignment horizontal="center"/>
    </xf>
    <xf numFmtId="0" fontId="20" fillId="4" borderId="25" xfId="0" applyFont="1" applyFill="1" applyBorder="1"/>
    <xf numFmtId="0" fontId="20" fillId="4" borderId="26" xfId="0" applyFont="1" applyFill="1" applyBorder="1"/>
    <xf numFmtId="0" fontId="20" fillId="4" borderId="26" xfId="0" applyFont="1" applyFill="1" applyBorder="1" applyAlignment="1">
      <alignment wrapText="1"/>
    </xf>
    <xf numFmtId="0" fontId="20" fillId="7" borderId="34" xfId="0" applyFont="1" applyFill="1" applyBorder="1" applyAlignment="1">
      <alignment horizontal="center"/>
    </xf>
    <xf numFmtId="0" fontId="20" fillId="0" borderId="34" xfId="0" applyFont="1" applyBorder="1"/>
    <xf numFmtId="0" fontId="20" fillId="7" borderId="34" xfId="0" applyFont="1" applyFill="1" applyBorder="1"/>
    <xf numFmtId="0" fontId="22" fillId="6" borderId="32" xfId="0" applyFont="1" applyFill="1" applyBorder="1" applyAlignment="1">
      <alignment horizontal="center"/>
    </xf>
    <xf numFmtId="0" fontId="20" fillId="7" borderId="34" xfId="0" applyFont="1" applyFill="1" applyBorder="1" applyAlignment="1">
      <alignment wrapText="1"/>
    </xf>
    <xf numFmtId="0" fontId="20" fillId="8" borderId="14" xfId="0" applyFont="1" applyFill="1" applyBorder="1"/>
    <xf numFmtId="0" fontId="20" fillId="8" borderId="20" xfId="0" applyFont="1" applyFill="1" applyBorder="1"/>
    <xf numFmtId="0" fontId="20" fillId="8" borderId="17" xfId="0" applyFont="1" applyFill="1" applyBorder="1"/>
    <xf numFmtId="0" fontId="20" fillId="8" borderId="7" xfId="0" applyFont="1" applyFill="1" applyBorder="1" applyAlignment="1">
      <alignment wrapText="1"/>
    </xf>
    <xf numFmtId="0" fontId="21" fillId="8" borderId="8" xfId="0" applyFont="1" applyFill="1" applyBorder="1" applyAlignment="1">
      <alignment horizontal="center"/>
    </xf>
    <xf numFmtId="0" fontId="21" fillId="8" borderId="44" xfId="0" applyFont="1" applyFill="1" applyBorder="1" applyAlignment="1">
      <alignment horizontal="center"/>
    </xf>
    <xf numFmtId="0" fontId="21" fillId="4" borderId="32" xfId="0" applyFont="1" applyFill="1" applyBorder="1" applyAlignment="1">
      <alignment horizontal="center" vertical="center"/>
    </xf>
    <xf numFmtId="0" fontId="20" fillId="7" borderId="22" xfId="0" applyFont="1" applyFill="1" applyBorder="1" applyAlignment="1">
      <alignment wrapText="1"/>
    </xf>
    <xf numFmtId="0" fontId="20" fillId="7" borderId="22" xfId="0" applyFont="1" applyFill="1" applyBorder="1" applyAlignment="1">
      <alignment horizontal="center"/>
    </xf>
    <xf numFmtId="0" fontId="20" fillId="7" borderId="37" xfId="0" applyFont="1" applyFill="1" applyBorder="1"/>
    <xf numFmtId="0" fontId="20" fillId="7" borderId="38" xfId="0" applyFont="1" applyFill="1" applyBorder="1"/>
    <xf numFmtId="0" fontId="20" fillId="7" borderId="38" xfId="0" applyFont="1" applyFill="1" applyBorder="1" applyAlignment="1">
      <alignment wrapText="1"/>
    </xf>
    <xf numFmtId="0" fontId="20" fillId="7" borderId="23" xfId="0" applyFont="1" applyFill="1" applyBorder="1" applyAlignment="1">
      <alignment wrapText="1"/>
    </xf>
    <xf numFmtId="0" fontId="21" fillId="7" borderId="23" xfId="0" applyFont="1" applyFill="1" applyBorder="1" applyAlignment="1">
      <alignment horizontal="center"/>
    </xf>
    <xf numFmtId="0" fontId="20" fillId="4" borderId="47" xfId="0" applyFont="1" applyFill="1" applyBorder="1"/>
    <xf numFmtId="0" fontId="20" fillId="4" borderId="48" xfId="0" applyFont="1" applyFill="1" applyBorder="1"/>
    <xf numFmtId="0" fontId="20" fillId="4" borderId="48" xfId="0" applyFont="1" applyFill="1" applyBorder="1" applyAlignment="1">
      <alignment wrapText="1"/>
    </xf>
    <xf numFmtId="0" fontId="20" fillId="4" borderId="48" xfId="0" applyFont="1" applyFill="1" applyBorder="1" applyAlignment="1">
      <alignment horizontal="center"/>
    </xf>
    <xf numFmtId="0" fontId="21" fillId="4" borderId="48" xfId="0" applyFont="1" applyFill="1" applyBorder="1" applyAlignment="1">
      <alignment horizontal="center"/>
    </xf>
    <xf numFmtId="0" fontId="21" fillId="4" borderId="49" xfId="0" applyFont="1" applyFill="1" applyBorder="1" applyAlignment="1">
      <alignment horizontal="center" wrapText="1"/>
    </xf>
    <xf numFmtId="0" fontId="21" fillId="4" borderId="30" xfId="0" applyFont="1" applyFill="1" applyBorder="1" applyAlignment="1">
      <alignment horizontal="center" wrapText="1"/>
    </xf>
    <xf numFmtId="0" fontId="21" fillId="7" borderId="50" xfId="0" applyFont="1" applyFill="1" applyBorder="1" applyAlignment="1">
      <alignment horizontal="center" wrapText="1"/>
    </xf>
    <xf numFmtId="0" fontId="20" fillId="7" borderId="51" xfId="0" applyFont="1" applyFill="1" applyBorder="1"/>
    <xf numFmtId="0" fontId="20" fillId="7" borderId="52" xfId="0" applyFont="1" applyFill="1" applyBorder="1" applyAlignment="1">
      <alignment horizontal="center"/>
    </xf>
    <xf numFmtId="9" fontId="21" fillId="7" borderId="10" xfId="0" applyNumberFormat="1" applyFont="1" applyFill="1" applyBorder="1" applyAlignment="1">
      <alignment horizontal="center"/>
    </xf>
    <xf numFmtId="0" fontId="21" fillId="7" borderId="10" xfId="0" applyFont="1" applyFill="1" applyBorder="1" applyAlignment="1">
      <alignment horizontal="center"/>
    </xf>
    <xf numFmtId="0" fontId="21" fillId="7" borderId="11" xfId="0" applyFont="1" applyFill="1" applyBorder="1" applyAlignment="1">
      <alignment horizontal="center" wrapText="1"/>
    </xf>
    <xf numFmtId="9" fontId="20" fillId="8" borderId="21" xfId="0" applyNumberFormat="1" applyFont="1" applyFill="1" applyBorder="1" applyAlignment="1">
      <alignment horizontal="center"/>
    </xf>
    <xf numFmtId="0" fontId="20" fillId="7" borderId="25" xfId="0" applyFont="1" applyFill="1" applyBorder="1"/>
    <xf numFmtId="0" fontId="20" fillId="7" borderId="26" xfId="0" applyFont="1" applyFill="1" applyBorder="1"/>
    <xf numFmtId="0" fontId="20" fillId="7" borderId="26" xfId="0" applyFont="1" applyFill="1" applyBorder="1" applyAlignment="1">
      <alignment wrapText="1"/>
    </xf>
    <xf numFmtId="0" fontId="20" fillId="7" borderId="26" xfId="0" applyFont="1" applyFill="1" applyBorder="1" applyAlignment="1">
      <alignment horizontal="center"/>
    </xf>
    <xf numFmtId="0" fontId="20" fillId="8" borderId="51" xfId="0" applyFont="1" applyFill="1" applyBorder="1"/>
    <xf numFmtId="0" fontId="20" fillId="8" borderId="28" xfId="0" applyFont="1" applyFill="1" applyBorder="1"/>
    <xf numFmtId="0" fontId="20" fillId="8" borderId="22" xfId="0" applyFont="1" applyFill="1" applyBorder="1"/>
    <xf numFmtId="0" fontId="20" fillId="8" borderId="22" xfId="0" applyFont="1" applyFill="1" applyBorder="1" applyAlignment="1">
      <alignment wrapText="1"/>
    </xf>
    <xf numFmtId="49" fontId="20" fillId="8" borderId="22" xfId="0" applyNumberFormat="1" applyFont="1" applyFill="1" applyBorder="1" applyAlignment="1">
      <alignment horizontal="center"/>
    </xf>
    <xf numFmtId="0" fontId="20" fillId="8" borderId="22" xfId="0" applyFont="1" applyFill="1" applyBorder="1" applyAlignment="1">
      <alignment horizontal="center"/>
    </xf>
    <xf numFmtId="0" fontId="21" fillId="7" borderId="35" xfId="0" applyFont="1" applyFill="1" applyBorder="1" applyAlignment="1">
      <alignment horizontal="center"/>
    </xf>
    <xf numFmtId="0" fontId="21" fillId="8" borderId="35" xfId="0" applyFont="1" applyFill="1" applyBorder="1" applyAlignment="1">
      <alignment horizontal="center" wrapText="1"/>
    </xf>
    <xf numFmtId="49" fontId="20" fillId="8" borderId="31" xfId="0" applyNumberFormat="1" applyFont="1" applyFill="1" applyBorder="1" applyAlignment="1">
      <alignment horizontal="center" wrapText="1"/>
    </xf>
    <xf numFmtId="0" fontId="20" fillId="7" borderId="46" xfId="0" applyFont="1" applyFill="1" applyBorder="1" applyAlignment="1">
      <alignment horizontal="center" vertical="center"/>
    </xf>
    <xf numFmtId="0" fontId="20" fillId="7" borderId="45" xfId="0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/>
    </xf>
    <xf numFmtId="0" fontId="20" fillId="7" borderId="54" xfId="0" applyFont="1" applyFill="1" applyBorder="1" applyAlignment="1">
      <alignment horizontal="center"/>
    </xf>
    <xf numFmtId="0" fontId="20" fillId="7" borderId="55" xfId="0" applyFont="1" applyFill="1" applyBorder="1"/>
    <xf numFmtId="0" fontId="21" fillId="7" borderId="36" xfId="0" applyFont="1" applyFill="1" applyBorder="1" applyAlignment="1">
      <alignment horizontal="center"/>
    </xf>
    <xf numFmtId="0" fontId="20" fillId="7" borderId="27" xfId="0" applyFont="1" applyFill="1" applyBorder="1" applyAlignment="1">
      <alignment horizontal="center"/>
    </xf>
    <xf numFmtId="0" fontId="20" fillId="7" borderId="52" xfId="0" applyFont="1" applyFill="1" applyBorder="1" applyAlignment="1">
      <alignment horizontal="center" wrapText="1"/>
    </xf>
    <xf numFmtId="0" fontId="20" fillId="7" borderId="28" xfId="0" applyFont="1" applyFill="1" applyBorder="1"/>
    <xf numFmtId="0" fontId="20" fillId="7" borderId="22" xfId="0" applyFont="1" applyFill="1" applyBorder="1"/>
    <xf numFmtId="0" fontId="21" fillId="7" borderId="29" xfId="0" applyFont="1" applyFill="1" applyBorder="1" applyAlignment="1">
      <alignment horizontal="center"/>
    </xf>
    <xf numFmtId="0" fontId="20" fillId="8" borderId="56" xfId="0" applyFont="1" applyFill="1" applyBorder="1"/>
    <xf numFmtId="0" fontId="20" fillId="8" borderId="57" xfId="0" applyFont="1" applyFill="1" applyBorder="1"/>
    <xf numFmtId="0" fontId="20" fillId="8" borderId="57" xfId="0" applyFont="1" applyFill="1" applyBorder="1" applyAlignment="1">
      <alignment wrapText="1"/>
    </xf>
    <xf numFmtId="0" fontId="20" fillId="8" borderId="58" xfId="0" applyFont="1" applyFill="1" applyBorder="1" applyAlignment="1">
      <alignment wrapText="1"/>
    </xf>
    <xf numFmtId="0" fontId="20" fillId="8" borderId="59" xfId="0" applyFont="1" applyFill="1" applyBorder="1" applyAlignment="1">
      <alignment wrapText="1"/>
    </xf>
    <xf numFmtId="0" fontId="21" fillId="8" borderId="59" xfId="0" applyFont="1" applyFill="1" applyBorder="1" applyAlignment="1">
      <alignment horizontal="center"/>
    </xf>
    <xf numFmtId="0" fontId="21" fillId="8" borderId="53" xfId="0" applyFont="1" applyFill="1" applyBorder="1" applyAlignment="1">
      <alignment horizontal="center" vertical="center"/>
    </xf>
    <xf numFmtId="0" fontId="20" fillId="8" borderId="41" xfId="0" applyFont="1" applyFill="1" applyBorder="1"/>
    <xf numFmtId="0" fontId="20" fillId="8" borderId="42" xfId="0" applyFont="1" applyFill="1" applyBorder="1"/>
    <xf numFmtId="0" fontId="20" fillId="8" borderId="43" xfId="0" applyFont="1" applyFill="1" applyBorder="1"/>
    <xf numFmtId="0" fontId="20" fillId="8" borderId="24" xfId="0" applyFont="1" applyFill="1" applyBorder="1" applyAlignment="1">
      <alignment horizontal="center"/>
    </xf>
    <xf numFmtId="0" fontId="21" fillId="7" borderId="23" xfId="0" applyFont="1" applyFill="1" applyBorder="1" applyAlignment="1">
      <alignment horizontal="left"/>
    </xf>
    <xf numFmtId="0" fontId="20" fillId="4" borderId="26" xfId="0" applyFont="1" applyFill="1" applyBorder="1" applyAlignment="1">
      <alignment horizontal="center"/>
    </xf>
    <xf numFmtId="0" fontId="20" fillId="7" borderId="60" xfId="0" applyFont="1" applyFill="1" applyBorder="1" applyAlignment="1">
      <alignment horizontal="center"/>
    </xf>
    <xf numFmtId="0" fontId="20" fillId="7" borderId="61" xfId="0" applyFont="1" applyFill="1" applyBorder="1" applyAlignment="1">
      <alignment horizontal="center"/>
    </xf>
    <xf numFmtId="0" fontId="20" fillId="8" borderId="2" xfId="0" applyFont="1" applyFill="1" applyBorder="1" applyAlignment="1">
      <alignment horizontal="center"/>
    </xf>
    <xf numFmtId="0" fontId="20" fillId="8" borderId="57" xfId="0" applyFont="1" applyFill="1" applyBorder="1" applyAlignment="1">
      <alignment horizontal="center"/>
    </xf>
    <xf numFmtId="0" fontId="20" fillId="8" borderId="42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20" fillId="7" borderId="48" xfId="0" applyFont="1" applyFill="1" applyBorder="1" applyAlignment="1">
      <alignment horizontal="center"/>
    </xf>
    <xf numFmtId="0" fontId="21" fillId="7" borderId="6" xfId="0" applyFont="1" applyFill="1" applyBorder="1" applyAlignment="1">
      <alignment horizontal="center" vertical="center"/>
    </xf>
    <xf numFmtId="0" fontId="21" fillId="7" borderId="46" xfId="0" applyFont="1" applyFill="1" applyBorder="1" applyAlignment="1">
      <alignment horizontal="center" vertical="center"/>
    </xf>
    <xf numFmtId="0" fontId="0" fillId="7" borderId="45" xfId="0" applyFill="1" applyBorder="1" applyAlignment="1">
      <alignment horizontal="center"/>
    </xf>
    <xf numFmtId="0" fontId="0" fillId="7" borderId="40" xfId="0" applyFill="1" applyBorder="1" applyAlignment="1">
      <alignment horizontal="center"/>
    </xf>
    <xf numFmtId="0" fontId="20" fillId="7" borderId="32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4643D-340D-48DF-84C8-2EDC62F10788}">
  <sheetPr codeName="List1"/>
  <dimension ref="A1:G65"/>
  <sheetViews>
    <sheetView workbookViewId="0">
      <selection activeCell="A45" sqref="A45"/>
    </sheetView>
  </sheetViews>
  <sheetFormatPr defaultRowHeight="15" customHeight="1" x14ac:dyDescent="0.3"/>
  <cols>
    <col min="1" max="1" width="64.21875" style="1" customWidth="1"/>
    <col min="2" max="2" width="32" style="1" customWidth="1"/>
    <col min="3" max="3" width="28.44140625" style="1" customWidth="1"/>
    <col min="4" max="4" width="13.5546875" style="2" bestFit="1" customWidth="1"/>
    <col min="5" max="5" width="5.21875" bestFit="1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t="s">
        <v>5</v>
      </c>
    </row>
    <row r="2" spans="1:7" ht="14.4" x14ac:dyDescent="0.3">
      <c r="A2" s="1" t="s">
        <v>6</v>
      </c>
      <c r="B2" s="1" t="s">
        <v>7</v>
      </c>
      <c r="C2" s="1" t="s">
        <v>8</v>
      </c>
      <c r="D2" s="3">
        <v>2</v>
      </c>
      <c r="E2" s="1" t="s">
        <v>9</v>
      </c>
      <c r="F2" t="s">
        <v>10</v>
      </c>
      <c r="G2" s="1" t="s">
        <v>11</v>
      </c>
    </row>
    <row r="3" spans="1:7" ht="14.4" x14ac:dyDescent="0.3">
      <c r="A3" s="1" t="s">
        <v>12</v>
      </c>
      <c r="B3" s="1" t="s">
        <v>13</v>
      </c>
      <c r="C3" s="1" t="s">
        <v>8</v>
      </c>
      <c r="D3" s="3">
        <v>1</v>
      </c>
      <c r="E3" s="1" t="s">
        <v>9</v>
      </c>
      <c r="F3" t="s">
        <v>10</v>
      </c>
      <c r="G3" s="1" t="s">
        <v>11</v>
      </c>
    </row>
    <row r="4" spans="1:7" ht="28.8" x14ac:dyDescent="0.3">
      <c r="A4" s="4" t="s">
        <v>14</v>
      </c>
      <c r="B4" s="1" t="s">
        <v>15</v>
      </c>
      <c r="C4" s="1" t="s">
        <v>8</v>
      </c>
      <c r="D4" s="3">
        <v>1</v>
      </c>
      <c r="E4" s="1" t="s">
        <v>9</v>
      </c>
      <c r="F4" t="s">
        <v>10</v>
      </c>
      <c r="G4" s="1" t="s">
        <v>11</v>
      </c>
    </row>
    <row r="5" spans="1:7" ht="14.4" x14ac:dyDescent="0.3">
      <c r="A5" s="1" t="s">
        <v>16</v>
      </c>
      <c r="B5" s="1" t="s">
        <v>17</v>
      </c>
      <c r="C5" s="1" t="s">
        <v>8</v>
      </c>
      <c r="D5" s="3">
        <v>2</v>
      </c>
      <c r="E5" s="1" t="s">
        <v>9</v>
      </c>
      <c r="F5" t="s">
        <v>10</v>
      </c>
      <c r="G5" s="1" t="s">
        <v>11</v>
      </c>
    </row>
    <row r="6" spans="1:7" ht="28.8" x14ac:dyDescent="0.3">
      <c r="A6" s="1" t="s">
        <v>18</v>
      </c>
      <c r="B6" s="1" t="s">
        <v>19</v>
      </c>
      <c r="C6" s="1" t="s">
        <v>20</v>
      </c>
      <c r="D6" s="3">
        <v>1</v>
      </c>
      <c r="E6" s="1" t="s">
        <v>9</v>
      </c>
      <c r="F6" t="s">
        <v>10</v>
      </c>
      <c r="G6" s="1" t="s">
        <v>11</v>
      </c>
    </row>
    <row r="7" spans="1:7" ht="14.4" x14ac:dyDescent="0.3">
      <c r="A7" s="1" t="s">
        <v>21</v>
      </c>
      <c r="B7" s="1" t="s">
        <v>22</v>
      </c>
      <c r="C7" s="1" t="s">
        <v>23</v>
      </c>
      <c r="D7" s="3">
        <v>2</v>
      </c>
      <c r="E7" s="1" t="s">
        <v>9</v>
      </c>
      <c r="F7" t="s">
        <v>10</v>
      </c>
      <c r="G7" s="1" t="s">
        <v>11</v>
      </c>
    </row>
    <row r="8" spans="1:7" ht="14.4" x14ac:dyDescent="0.3">
      <c r="A8" s="1" t="s">
        <v>24</v>
      </c>
      <c r="B8" s="1" t="s">
        <v>25</v>
      </c>
      <c r="C8" s="1" t="s">
        <v>8</v>
      </c>
      <c r="D8" s="3">
        <v>1</v>
      </c>
      <c r="E8" s="1" t="s">
        <v>9</v>
      </c>
      <c r="F8" t="s">
        <v>10</v>
      </c>
      <c r="G8" s="1" t="s">
        <v>11</v>
      </c>
    </row>
    <row r="9" spans="1:7" ht="14.4" x14ac:dyDescent="0.3">
      <c r="A9" s="1" t="s">
        <v>26</v>
      </c>
      <c r="B9" s="1" t="s">
        <v>27</v>
      </c>
      <c r="C9" s="1" t="s">
        <v>8</v>
      </c>
      <c r="D9" s="3">
        <v>1</v>
      </c>
      <c r="E9" s="1" t="s">
        <v>9</v>
      </c>
      <c r="F9" t="s">
        <v>10</v>
      </c>
      <c r="G9" s="1" t="s">
        <v>11</v>
      </c>
    </row>
    <row r="10" spans="1:7" ht="14.4" x14ac:dyDescent="0.3">
      <c r="A10" s="1" t="s">
        <v>28</v>
      </c>
      <c r="B10" s="1" t="s">
        <v>29</v>
      </c>
      <c r="C10" s="1" t="s">
        <v>8</v>
      </c>
      <c r="D10" s="5">
        <v>0.5</v>
      </c>
      <c r="E10" s="1" t="s">
        <v>9</v>
      </c>
      <c r="F10" t="s">
        <v>10</v>
      </c>
      <c r="G10" s="1" t="s">
        <v>11</v>
      </c>
    </row>
    <row r="11" spans="1:7" ht="28.8" x14ac:dyDescent="0.3">
      <c r="A11" s="1" t="s">
        <v>30</v>
      </c>
      <c r="B11" s="1" t="s">
        <v>31</v>
      </c>
      <c r="C11" s="1" t="s">
        <v>32</v>
      </c>
      <c r="D11" s="3">
        <v>1</v>
      </c>
      <c r="E11" s="1" t="s">
        <v>9</v>
      </c>
      <c r="F11" t="s">
        <v>10</v>
      </c>
      <c r="G11" s="1" t="s">
        <v>11</v>
      </c>
    </row>
    <row r="12" spans="1:7" ht="14.4" x14ac:dyDescent="0.3">
      <c r="A12" s="1" t="s">
        <v>33</v>
      </c>
      <c r="B12" s="1" t="s">
        <v>22</v>
      </c>
      <c r="C12" s="1" t="s">
        <v>8</v>
      </c>
      <c r="D12" s="3">
        <v>3</v>
      </c>
      <c r="E12" s="1" t="s">
        <v>9</v>
      </c>
      <c r="F12" t="s">
        <v>10</v>
      </c>
      <c r="G12" s="1" t="s">
        <v>11</v>
      </c>
    </row>
    <row r="13" spans="1:7" ht="14.4" x14ac:dyDescent="0.3">
      <c r="A13" s="1" t="s">
        <v>34</v>
      </c>
      <c r="B13" s="1" t="s">
        <v>35</v>
      </c>
      <c r="C13" s="1" t="s">
        <v>36</v>
      </c>
      <c r="D13" s="3">
        <v>1</v>
      </c>
      <c r="E13" s="1" t="s">
        <v>9</v>
      </c>
      <c r="F13" t="s">
        <v>37</v>
      </c>
      <c r="G13" s="1" t="s">
        <v>11</v>
      </c>
    </row>
    <row r="14" spans="1:7" ht="14.4" x14ac:dyDescent="0.3">
      <c r="A14" s="1" t="s">
        <v>38</v>
      </c>
      <c r="B14" s="1" t="s">
        <v>39</v>
      </c>
      <c r="C14" s="1" t="s">
        <v>40</v>
      </c>
      <c r="D14" s="3">
        <v>1</v>
      </c>
      <c r="E14" s="1" t="s">
        <v>9</v>
      </c>
      <c r="F14" t="s">
        <v>37</v>
      </c>
      <c r="G14" s="1" t="s">
        <v>11</v>
      </c>
    </row>
    <row r="15" spans="1:7" ht="14.4" x14ac:dyDescent="0.3">
      <c r="A15" s="1" t="s">
        <v>41</v>
      </c>
      <c r="B15" s="1" t="s">
        <v>39</v>
      </c>
      <c r="C15" s="1" t="s">
        <v>40</v>
      </c>
      <c r="D15" s="3">
        <v>1</v>
      </c>
      <c r="E15" s="1" t="s">
        <v>9</v>
      </c>
      <c r="F15" t="s">
        <v>37</v>
      </c>
      <c r="G15" s="1" t="s">
        <v>11</v>
      </c>
    </row>
    <row r="16" spans="1:7" ht="14.4" x14ac:dyDescent="0.3">
      <c r="A16" s="1" t="s">
        <v>42</v>
      </c>
      <c r="B16" s="1" t="s">
        <v>39</v>
      </c>
      <c r="C16" s="1" t="s">
        <v>40</v>
      </c>
      <c r="D16" s="3">
        <v>1</v>
      </c>
      <c r="E16" s="1" t="s">
        <v>9</v>
      </c>
      <c r="F16" t="s">
        <v>37</v>
      </c>
      <c r="G16" s="1" t="s">
        <v>11</v>
      </c>
    </row>
    <row r="17" spans="1:7" ht="14.4" x14ac:dyDescent="0.3">
      <c r="A17" s="1" t="s">
        <v>43</v>
      </c>
      <c r="B17" s="1" t="s">
        <v>35</v>
      </c>
      <c r="C17" s="1" t="s">
        <v>40</v>
      </c>
      <c r="D17" s="5">
        <v>1.5</v>
      </c>
      <c r="E17" s="1" t="s">
        <v>9</v>
      </c>
      <c r="F17" t="s">
        <v>37</v>
      </c>
      <c r="G17" s="1" t="s">
        <v>11</v>
      </c>
    </row>
    <row r="18" spans="1:7" ht="14.4" x14ac:dyDescent="0.3">
      <c r="A18" s="1" t="s">
        <v>44</v>
      </c>
      <c r="B18" s="1" t="s">
        <v>45</v>
      </c>
      <c r="C18" s="1" t="s">
        <v>40</v>
      </c>
      <c r="D18" s="3">
        <v>1</v>
      </c>
      <c r="E18" s="1" t="s">
        <v>9</v>
      </c>
      <c r="F18" t="s">
        <v>37</v>
      </c>
      <c r="G18" s="1" t="s">
        <v>11</v>
      </c>
    </row>
    <row r="19" spans="1:7" ht="14.4" x14ac:dyDescent="0.3">
      <c r="A19" s="1" t="s">
        <v>46</v>
      </c>
      <c r="B19" s="1" t="s">
        <v>47</v>
      </c>
      <c r="C19" s="1" t="s">
        <v>40</v>
      </c>
      <c r="D19" s="3">
        <v>3</v>
      </c>
      <c r="E19" s="1" t="s">
        <v>9</v>
      </c>
      <c r="F19" t="s">
        <v>37</v>
      </c>
      <c r="G19" s="1" t="s">
        <v>11</v>
      </c>
    </row>
    <row r="20" spans="1:7" ht="13.5" customHeight="1" x14ac:dyDescent="0.3">
      <c r="A20" s="1" t="s">
        <v>48</v>
      </c>
      <c r="B20" s="1" t="s">
        <v>49</v>
      </c>
      <c r="C20" s="1" t="s">
        <v>40</v>
      </c>
      <c r="D20" s="3">
        <v>1</v>
      </c>
      <c r="E20" s="1" t="s">
        <v>9</v>
      </c>
      <c r="F20" t="s">
        <v>37</v>
      </c>
      <c r="G20" s="1" t="s">
        <v>11</v>
      </c>
    </row>
    <row r="21" spans="1:7" ht="14.4" x14ac:dyDescent="0.3">
      <c r="A21" s="1" t="s">
        <v>50</v>
      </c>
      <c r="B21" s="1" t="s">
        <v>47</v>
      </c>
      <c r="C21" s="1" t="s">
        <v>40</v>
      </c>
      <c r="D21" s="3">
        <v>2</v>
      </c>
      <c r="E21" s="1" t="s">
        <v>9</v>
      </c>
      <c r="F21" t="s">
        <v>37</v>
      </c>
      <c r="G21" s="1" t="s">
        <v>11</v>
      </c>
    </row>
    <row r="22" spans="1:7" ht="14.4" x14ac:dyDescent="0.3">
      <c r="A22" s="1" t="s">
        <v>51</v>
      </c>
      <c r="B22" s="1" t="s">
        <v>52</v>
      </c>
      <c r="C22" s="1" t="s">
        <v>40</v>
      </c>
      <c r="D22" s="3">
        <v>1</v>
      </c>
      <c r="E22" s="1" t="s">
        <v>9</v>
      </c>
      <c r="F22" t="s">
        <v>37</v>
      </c>
      <c r="G22" s="1" t="s">
        <v>11</v>
      </c>
    </row>
    <row r="23" spans="1:7" ht="14.4" x14ac:dyDescent="0.3">
      <c r="A23" s="1" t="s">
        <v>53</v>
      </c>
      <c r="B23" s="1" t="s">
        <v>54</v>
      </c>
      <c r="C23" s="1" t="s">
        <v>40</v>
      </c>
      <c r="D23" s="3">
        <v>1</v>
      </c>
      <c r="E23" s="1" t="s">
        <v>9</v>
      </c>
      <c r="F23" t="s">
        <v>37</v>
      </c>
      <c r="G23" s="1" t="s">
        <v>11</v>
      </c>
    </row>
    <row r="24" spans="1:7" ht="14.4" x14ac:dyDescent="0.3">
      <c r="A24" s="1" t="s">
        <v>55</v>
      </c>
      <c r="B24" s="1" t="s">
        <v>56</v>
      </c>
      <c r="C24" s="1" t="s">
        <v>40</v>
      </c>
      <c r="D24" s="3">
        <v>2</v>
      </c>
      <c r="E24" s="1" t="s">
        <v>9</v>
      </c>
      <c r="F24" t="s">
        <v>37</v>
      </c>
      <c r="G24" s="1" t="s">
        <v>11</v>
      </c>
    </row>
    <row r="25" spans="1:7" ht="14.4" x14ac:dyDescent="0.3">
      <c r="A25" s="8" t="s">
        <v>57</v>
      </c>
      <c r="D25" s="3">
        <v>3</v>
      </c>
      <c r="E25" s="1" t="s">
        <v>9</v>
      </c>
      <c r="F25" t="s">
        <v>37</v>
      </c>
      <c r="G25" s="1" t="s">
        <v>58</v>
      </c>
    </row>
    <row r="26" spans="1:7" ht="14.4" x14ac:dyDescent="0.3">
      <c r="A26" s="1" t="s">
        <v>59</v>
      </c>
      <c r="B26" s="1" t="s">
        <v>13</v>
      </c>
      <c r="C26" s="1" t="s">
        <v>60</v>
      </c>
      <c r="D26" s="3">
        <v>2</v>
      </c>
      <c r="E26" s="1" t="s">
        <v>9</v>
      </c>
      <c r="F26" t="s">
        <v>37</v>
      </c>
      <c r="G26" s="1" t="s">
        <v>11</v>
      </c>
    </row>
    <row r="27" spans="1:7" ht="14.4" x14ac:dyDescent="0.3">
      <c r="A27" s="1" t="s">
        <v>61</v>
      </c>
      <c r="B27" s="1" t="s">
        <v>62</v>
      </c>
      <c r="C27" s="1" t="s">
        <v>63</v>
      </c>
      <c r="D27" s="3">
        <v>1</v>
      </c>
      <c r="E27" s="1" t="s">
        <v>9</v>
      </c>
      <c r="F27" t="s">
        <v>37</v>
      </c>
      <c r="G27" s="1" t="s">
        <v>11</v>
      </c>
    </row>
    <row r="28" spans="1:7" ht="15.75" customHeight="1" x14ac:dyDescent="0.3">
      <c r="A28" s="1" t="s">
        <v>64</v>
      </c>
      <c r="B28" s="1" t="s">
        <v>35</v>
      </c>
      <c r="C28" s="1" t="s">
        <v>36</v>
      </c>
      <c r="D28" s="3">
        <v>3</v>
      </c>
      <c r="E28" s="1" t="s">
        <v>9</v>
      </c>
      <c r="F28" t="s">
        <v>37</v>
      </c>
      <c r="G28" s="1" t="s">
        <v>58</v>
      </c>
    </row>
    <row r="29" spans="1:7" ht="14.4" x14ac:dyDescent="0.3">
      <c r="A29" s="1" t="s">
        <v>65</v>
      </c>
      <c r="B29" s="1" t="s">
        <v>66</v>
      </c>
      <c r="C29" s="1" t="s">
        <v>40</v>
      </c>
      <c r="D29" s="3">
        <v>1</v>
      </c>
      <c r="E29" s="1" t="s">
        <v>9</v>
      </c>
      <c r="F29" t="s">
        <v>37</v>
      </c>
      <c r="G29" s="1" t="s">
        <v>58</v>
      </c>
    </row>
    <row r="30" spans="1:7" ht="14.4" x14ac:dyDescent="0.3">
      <c r="A30" s="1" t="s">
        <v>67</v>
      </c>
      <c r="C30" s="1" t="s">
        <v>68</v>
      </c>
      <c r="D30" s="3">
        <v>2</v>
      </c>
      <c r="E30" s="1" t="s">
        <v>9</v>
      </c>
      <c r="F30" t="s">
        <v>37</v>
      </c>
      <c r="G30" s="1" t="s">
        <v>58</v>
      </c>
    </row>
    <row r="31" spans="1:7" ht="14.4" x14ac:dyDescent="0.3">
      <c r="A31" s="1" t="s">
        <v>69</v>
      </c>
      <c r="B31" s="1" t="s">
        <v>70</v>
      </c>
      <c r="C31" s="1" t="s">
        <v>63</v>
      </c>
      <c r="D31" s="3">
        <v>1</v>
      </c>
      <c r="E31" s="1" t="s">
        <v>9</v>
      </c>
      <c r="F31" t="s">
        <v>37</v>
      </c>
      <c r="G31" s="1" t="s">
        <v>11</v>
      </c>
    </row>
    <row r="32" spans="1:7" ht="28.8" x14ac:dyDescent="0.3">
      <c r="A32" s="1" t="s">
        <v>71</v>
      </c>
      <c r="D32" s="3">
        <v>1</v>
      </c>
      <c r="E32" s="1" t="s">
        <v>9</v>
      </c>
      <c r="F32" t="s">
        <v>37</v>
      </c>
      <c r="G32" s="1" t="s">
        <v>58</v>
      </c>
    </row>
    <row r="33" spans="1:7" ht="14.4" x14ac:dyDescent="0.3">
      <c r="A33" s="1" t="s">
        <v>72</v>
      </c>
      <c r="C33" s="1" t="s">
        <v>73</v>
      </c>
      <c r="D33" s="3">
        <v>1</v>
      </c>
      <c r="E33" s="1" t="s">
        <v>9</v>
      </c>
      <c r="F33" t="s">
        <v>37</v>
      </c>
      <c r="G33" s="1" t="s">
        <v>58</v>
      </c>
    </row>
    <row r="34" spans="1:7" ht="14.4" x14ac:dyDescent="0.3">
      <c r="A34" s="1" t="s">
        <v>74</v>
      </c>
      <c r="C34" s="1" t="s">
        <v>8</v>
      </c>
      <c r="D34" s="3">
        <v>4</v>
      </c>
      <c r="E34" s="1" t="s">
        <v>9</v>
      </c>
      <c r="F34" t="s">
        <v>37</v>
      </c>
      <c r="G34" s="1" t="s">
        <v>58</v>
      </c>
    </row>
    <row r="35" spans="1:7" ht="14.4" x14ac:dyDescent="0.3">
      <c r="A35" s="1" t="s">
        <v>75</v>
      </c>
      <c r="C35" s="1" t="s">
        <v>8</v>
      </c>
      <c r="D35" s="3">
        <v>2</v>
      </c>
      <c r="E35" s="1" t="s">
        <v>9</v>
      </c>
      <c r="F35" t="s">
        <v>37</v>
      </c>
      <c r="G35" s="1" t="s">
        <v>11</v>
      </c>
    </row>
    <row r="36" spans="1:7" ht="14.4" x14ac:dyDescent="0.3">
      <c r="A36" s="1" t="s">
        <v>76</v>
      </c>
      <c r="C36" s="1" t="s">
        <v>77</v>
      </c>
      <c r="D36" s="5">
        <v>0.5</v>
      </c>
      <c r="E36" s="1" t="s">
        <v>9</v>
      </c>
      <c r="F36" t="s">
        <v>37</v>
      </c>
      <c r="G36" s="1" t="s">
        <v>58</v>
      </c>
    </row>
    <row r="37" spans="1:7" ht="14.4" x14ac:dyDescent="0.3">
      <c r="A37" s="1" t="s">
        <v>78</v>
      </c>
      <c r="B37" s="1" t="s">
        <v>79</v>
      </c>
      <c r="C37" s="1" t="s">
        <v>63</v>
      </c>
      <c r="D37" s="3">
        <v>2</v>
      </c>
      <c r="E37" s="1" t="s">
        <v>9</v>
      </c>
      <c r="F37" t="s">
        <v>37</v>
      </c>
      <c r="G37" s="1" t="s">
        <v>11</v>
      </c>
    </row>
    <row r="38" spans="1:7" ht="14.4" x14ac:dyDescent="0.3">
      <c r="A38" s="1" t="s">
        <v>80</v>
      </c>
      <c r="B38" s="1" t="s">
        <v>81</v>
      </c>
      <c r="C38" s="1" t="s">
        <v>82</v>
      </c>
      <c r="D38" s="3">
        <v>3</v>
      </c>
      <c r="E38" s="1" t="s">
        <v>9</v>
      </c>
      <c r="F38" t="s">
        <v>37</v>
      </c>
      <c r="G38" s="1" t="s">
        <v>58</v>
      </c>
    </row>
    <row r="39" spans="1:7" ht="14.4" x14ac:dyDescent="0.3">
      <c r="A39" s="1" t="s">
        <v>83</v>
      </c>
      <c r="B39" s="1" t="s">
        <v>84</v>
      </c>
      <c r="C39" s="1" t="s">
        <v>85</v>
      </c>
      <c r="D39" s="3">
        <v>3</v>
      </c>
      <c r="E39" s="1" t="s">
        <v>9</v>
      </c>
      <c r="F39" t="s">
        <v>37</v>
      </c>
      <c r="G39" s="1" t="s">
        <v>58</v>
      </c>
    </row>
    <row r="40" spans="1:7" ht="14.4" x14ac:dyDescent="0.3">
      <c r="A40" s="1" t="s">
        <v>86</v>
      </c>
      <c r="C40" s="1" t="s">
        <v>63</v>
      </c>
      <c r="D40" s="5">
        <v>0.5</v>
      </c>
      <c r="E40" s="1" t="s">
        <v>9</v>
      </c>
      <c r="F40" t="s">
        <v>37</v>
      </c>
      <c r="G40" s="1" t="s">
        <v>11</v>
      </c>
    </row>
    <row r="41" spans="1:7" ht="14.4" x14ac:dyDescent="0.3">
      <c r="A41" s="1" t="s">
        <v>87</v>
      </c>
      <c r="B41" s="1" t="s">
        <v>7</v>
      </c>
      <c r="C41" s="1" t="s">
        <v>8</v>
      </c>
      <c r="D41" s="6">
        <v>0.05</v>
      </c>
      <c r="E41" s="1" t="s">
        <v>9</v>
      </c>
      <c r="F41" t="s">
        <v>10</v>
      </c>
      <c r="G41" s="1" t="s">
        <v>58</v>
      </c>
    </row>
    <row r="42" spans="1:7" ht="14.4" x14ac:dyDescent="0.3">
      <c r="A42" s="1" t="s">
        <v>88</v>
      </c>
      <c r="B42" s="1" t="s">
        <v>89</v>
      </c>
      <c r="C42" s="1" t="s">
        <v>77</v>
      </c>
      <c r="D42" s="5">
        <v>0.5</v>
      </c>
      <c r="E42" s="1" t="s">
        <v>9</v>
      </c>
      <c r="F42" t="s">
        <v>37</v>
      </c>
      <c r="G42" s="1" t="s">
        <v>58</v>
      </c>
    </row>
    <row r="43" spans="1:7" ht="14.4" x14ac:dyDescent="0.3">
      <c r="A43" s="1" t="s">
        <v>90</v>
      </c>
      <c r="C43" s="1" t="s">
        <v>8</v>
      </c>
      <c r="D43" s="3">
        <v>1</v>
      </c>
      <c r="E43" s="1" t="s">
        <v>9</v>
      </c>
      <c r="F43" t="s">
        <v>37</v>
      </c>
      <c r="G43" s="1" t="s">
        <v>58</v>
      </c>
    </row>
    <row r="44" spans="1:7" ht="14.4" x14ac:dyDescent="0.3">
      <c r="A44" s="1" t="s">
        <v>91</v>
      </c>
      <c r="B44" s="1" t="s">
        <v>92</v>
      </c>
      <c r="C44" s="1" t="s">
        <v>93</v>
      </c>
      <c r="D44" s="3">
        <v>1</v>
      </c>
      <c r="E44" s="1" t="s">
        <v>9</v>
      </c>
      <c r="F44" t="s">
        <v>37</v>
      </c>
      <c r="G44" s="1" t="s">
        <v>58</v>
      </c>
    </row>
    <row r="45" spans="1:7" ht="14.4" x14ac:dyDescent="0.3">
      <c r="A45" s="1" t="s">
        <v>94</v>
      </c>
      <c r="B45" s="1" t="s">
        <v>95</v>
      </c>
      <c r="C45" s="1" t="s">
        <v>40</v>
      </c>
      <c r="D45" s="3">
        <v>1</v>
      </c>
      <c r="E45" s="1" t="s">
        <v>9</v>
      </c>
      <c r="F45" t="s">
        <v>37</v>
      </c>
      <c r="G45" s="1" t="s">
        <v>11</v>
      </c>
    </row>
    <row r="46" spans="1:7" ht="14.4" x14ac:dyDescent="0.3">
      <c r="A46" s="1" t="s">
        <v>96</v>
      </c>
      <c r="B46" s="1" t="s">
        <v>35</v>
      </c>
      <c r="C46" s="1" t="s">
        <v>97</v>
      </c>
      <c r="D46" s="3">
        <v>5</v>
      </c>
      <c r="E46" s="1" t="s">
        <v>9</v>
      </c>
      <c r="F46" t="s">
        <v>37</v>
      </c>
      <c r="G46" s="1" t="s">
        <v>58</v>
      </c>
    </row>
    <row r="47" spans="1:7" ht="14.4" x14ac:dyDescent="0.3">
      <c r="A47" s="1" t="s">
        <v>98</v>
      </c>
      <c r="B47" s="1" t="s">
        <v>99</v>
      </c>
      <c r="C47" s="1" t="s">
        <v>63</v>
      </c>
      <c r="D47" s="3">
        <v>5</v>
      </c>
      <c r="E47" s="1" t="s">
        <v>9</v>
      </c>
      <c r="F47" t="s">
        <v>37</v>
      </c>
      <c r="G47" s="1" t="s">
        <v>11</v>
      </c>
    </row>
    <row r="48" spans="1:7" ht="14.4" x14ac:dyDescent="0.3">
      <c r="A48" s="7" t="s">
        <v>100</v>
      </c>
      <c r="D48" s="3"/>
      <c r="G48" s="1" t="s">
        <v>58</v>
      </c>
    </row>
    <row r="49" spans="4:4" ht="14.4" x14ac:dyDescent="0.3">
      <c r="D49" s="3"/>
    </row>
    <row r="50" spans="4:4" ht="14.4" x14ac:dyDescent="0.3">
      <c r="D50" s="3"/>
    </row>
    <row r="51" spans="4:4" ht="14.4" x14ac:dyDescent="0.3">
      <c r="D51" s="3"/>
    </row>
    <row r="52" spans="4:4" ht="14.4" x14ac:dyDescent="0.3">
      <c r="D52" s="3"/>
    </row>
    <row r="53" spans="4:4" ht="14.4" x14ac:dyDescent="0.3">
      <c r="D53" s="3"/>
    </row>
    <row r="54" spans="4:4" ht="14.4" x14ac:dyDescent="0.3">
      <c r="D54" s="3"/>
    </row>
    <row r="55" spans="4:4" ht="14.4" x14ac:dyDescent="0.3">
      <c r="D55" s="3"/>
    </row>
    <row r="56" spans="4:4" ht="14.4" x14ac:dyDescent="0.3">
      <c r="D56" s="3"/>
    </row>
    <row r="57" spans="4:4" ht="14.4" x14ac:dyDescent="0.3">
      <c r="D57" s="3"/>
    </row>
    <row r="58" spans="4:4" ht="14.4" x14ac:dyDescent="0.3">
      <c r="D58" s="3"/>
    </row>
    <row r="59" spans="4:4" ht="14.4" x14ac:dyDescent="0.3">
      <c r="D59" s="3"/>
    </row>
    <row r="60" spans="4:4" ht="14.4" x14ac:dyDescent="0.3">
      <c r="D60" s="3"/>
    </row>
    <row r="61" spans="4:4" ht="14.4" x14ac:dyDescent="0.3">
      <c r="D61" s="3"/>
    </row>
    <row r="62" spans="4:4" ht="14.4" x14ac:dyDescent="0.3">
      <c r="D62" s="3"/>
    </row>
    <row r="63" spans="4:4" ht="14.4" x14ac:dyDescent="0.3">
      <c r="D63" s="3"/>
    </row>
    <row r="64" spans="4:4" ht="14.4" x14ac:dyDescent="0.3">
      <c r="D64" s="3"/>
    </row>
    <row r="65" spans="4:4" ht="14.4" x14ac:dyDescent="0.3">
      <c r="D65" s="3"/>
    </row>
  </sheetData>
  <autoFilter ref="A1:G48" xr:uid="{3D24643D-340D-48DF-84C8-2EDC62F10788}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8B5E-3799-48A0-9F3F-AC88877711DD}">
  <sheetPr codeName="List3"/>
  <dimension ref="A1:J76"/>
  <sheetViews>
    <sheetView workbookViewId="0">
      <selection activeCell="B37" sqref="B37"/>
    </sheetView>
  </sheetViews>
  <sheetFormatPr defaultRowHeight="15" customHeight="1" x14ac:dyDescent="0.3"/>
  <cols>
    <col min="1" max="1" width="61" customWidth="1"/>
    <col min="2" max="2" width="37" customWidth="1"/>
    <col min="3" max="3" width="28.77734375" customWidth="1"/>
    <col min="4" max="4" width="15.5546875" style="14" customWidth="1"/>
    <col min="5" max="5" width="33.21875" customWidth="1"/>
    <col min="6" max="6" width="11.77734375" bestFit="1" customWidth="1"/>
    <col min="7" max="7" width="19.44140625" customWidth="1"/>
    <col min="8" max="8" width="49.77734375" customWidth="1"/>
    <col min="9" max="9" width="28.77734375" customWidth="1"/>
  </cols>
  <sheetData>
    <row r="1" spans="1:9" ht="14.4" x14ac:dyDescent="0.3">
      <c r="A1" s="9" t="s">
        <v>101</v>
      </c>
      <c r="B1" s="9" t="s">
        <v>1</v>
      </c>
      <c r="C1" s="9" t="s">
        <v>2</v>
      </c>
      <c r="D1" s="10" t="s">
        <v>3</v>
      </c>
      <c r="E1" s="9" t="s">
        <v>102</v>
      </c>
      <c r="F1" s="9" t="s">
        <v>5</v>
      </c>
      <c r="G1" s="9" t="s">
        <v>103</v>
      </c>
      <c r="H1" s="9" t="s">
        <v>104</v>
      </c>
    </row>
    <row r="2" spans="1:9" ht="14.4" x14ac:dyDescent="0.3">
      <c r="A2" t="s">
        <v>105</v>
      </c>
      <c r="B2" t="s">
        <v>99</v>
      </c>
      <c r="C2" t="s">
        <v>63</v>
      </c>
      <c r="D2" s="11">
        <v>5</v>
      </c>
      <c r="E2" t="s">
        <v>106</v>
      </c>
      <c r="F2" t="s">
        <v>37</v>
      </c>
      <c r="G2" t="s">
        <v>107</v>
      </c>
      <c r="H2" t="s">
        <v>108</v>
      </c>
      <c r="I2" t="s">
        <v>109</v>
      </c>
    </row>
    <row r="3" spans="1:9" ht="14.4" x14ac:dyDescent="0.3">
      <c r="A3" t="s">
        <v>110</v>
      </c>
      <c r="B3" t="s">
        <v>17</v>
      </c>
      <c r="C3" t="s">
        <v>8</v>
      </c>
      <c r="D3" s="11">
        <v>3</v>
      </c>
      <c r="E3" t="s">
        <v>106</v>
      </c>
      <c r="F3" t="s">
        <v>10</v>
      </c>
      <c r="G3" t="s">
        <v>111</v>
      </c>
      <c r="I3" t="s">
        <v>112</v>
      </c>
    </row>
    <row r="4" spans="1:9" ht="14.4" x14ac:dyDescent="0.3">
      <c r="A4" t="s">
        <v>33</v>
      </c>
      <c r="B4" t="s">
        <v>22</v>
      </c>
      <c r="C4" t="s">
        <v>8</v>
      </c>
      <c r="D4" s="11">
        <v>3</v>
      </c>
      <c r="E4" t="s">
        <v>106</v>
      </c>
      <c r="F4" t="s">
        <v>10</v>
      </c>
      <c r="G4" t="s">
        <v>111</v>
      </c>
    </row>
    <row r="5" spans="1:9" ht="14.4" x14ac:dyDescent="0.3">
      <c r="A5" t="s">
        <v>46</v>
      </c>
      <c r="B5" t="s">
        <v>47</v>
      </c>
      <c r="C5" t="s">
        <v>40</v>
      </c>
      <c r="D5" s="11">
        <v>3</v>
      </c>
      <c r="E5" t="s">
        <v>106</v>
      </c>
      <c r="F5" t="s">
        <v>37</v>
      </c>
      <c r="G5" t="s">
        <v>107</v>
      </c>
      <c r="H5" t="s">
        <v>108</v>
      </c>
      <c r="I5" t="s">
        <v>109</v>
      </c>
    </row>
    <row r="6" spans="1:9" ht="14.4" x14ac:dyDescent="0.3">
      <c r="A6" t="s">
        <v>6</v>
      </c>
      <c r="B6" t="s">
        <v>7</v>
      </c>
      <c r="C6" t="s">
        <v>8</v>
      </c>
      <c r="D6" s="11">
        <v>2</v>
      </c>
      <c r="E6" t="s">
        <v>106</v>
      </c>
      <c r="F6" t="s">
        <v>10</v>
      </c>
      <c r="G6" t="s">
        <v>111</v>
      </c>
      <c r="I6" t="s">
        <v>109</v>
      </c>
    </row>
    <row r="7" spans="1:9" ht="14.4" x14ac:dyDescent="0.3">
      <c r="A7" t="s">
        <v>21</v>
      </c>
      <c r="B7" t="s">
        <v>22</v>
      </c>
      <c r="C7" t="s">
        <v>23</v>
      </c>
      <c r="D7" s="11">
        <v>2</v>
      </c>
      <c r="E7" t="s">
        <v>106</v>
      </c>
      <c r="F7" t="s">
        <v>10</v>
      </c>
      <c r="G7" t="s">
        <v>111</v>
      </c>
      <c r="I7" t="s">
        <v>109</v>
      </c>
    </row>
    <row r="8" spans="1:9" ht="14.4" x14ac:dyDescent="0.3">
      <c r="A8" t="s">
        <v>113</v>
      </c>
      <c r="B8" t="s">
        <v>22</v>
      </c>
      <c r="C8" t="s">
        <v>23</v>
      </c>
      <c r="D8" s="11">
        <v>2</v>
      </c>
      <c r="E8" t="s">
        <v>106</v>
      </c>
      <c r="F8" t="s">
        <v>10</v>
      </c>
      <c r="G8" t="s">
        <v>111</v>
      </c>
      <c r="H8" t="s">
        <v>114</v>
      </c>
    </row>
    <row r="9" spans="1:9" ht="14.4" x14ac:dyDescent="0.3">
      <c r="A9" t="s">
        <v>50</v>
      </c>
      <c r="B9" t="s">
        <v>47</v>
      </c>
      <c r="C9" t="s">
        <v>40</v>
      </c>
      <c r="D9" s="11">
        <v>2</v>
      </c>
      <c r="E9" t="s">
        <v>106</v>
      </c>
      <c r="F9" t="s">
        <v>37</v>
      </c>
      <c r="G9" t="s">
        <v>107</v>
      </c>
      <c r="H9" t="s">
        <v>108</v>
      </c>
      <c r="I9" s="1" t="s">
        <v>109</v>
      </c>
    </row>
    <row r="10" spans="1:9" ht="14.4" x14ac:dyDescent="0.3">
      <c r="A10" t="s">
        <v>55</v>
      </c>
      <c r="B10" t="s">
        <v>56</v>
      </c>
      <c r="C10" t="s">
        <v>40</v>
      </c>
      <c r="D10" s="11">
        <v>2</v>
      </c>
      <c r="E10" t="s">
        <v>106</v>
      </c>
      <c r="F10" t="s">
        <v>37</v>
      </c>
      <c r="G10" t="s">
        <v>107</v>
      </c>
      <c r="I10" s="1" t="s">
        <v>109</v>
      </c>
    </row>
    <row r="11" spans="1:9" ht="14.4" x14ac:dyDescent="0.3">
      <c r="A11" t="s">
        <v>59</v>
      </c>
      <c r="B11" t="s">
        <v>115</v>
      </c>
      <c r="C11" t="s">
        <v>60</v>
      </c>
      <c r="D11" s="11">
        <v>2</v>
      </c>
      <c r="E11" t="s">
        <v>106</v>
      </c>
      <c r="F11" t="s">
        <v>37</v>
      </c>
      <c r="G11" t="s">
        <v>107</v>
      </c>
      <c r="H11" t="s">
        <v>108</v>
      </c>
      <c r="I11" t="s">
        <v>109</v>
      </c>
    </row>
    <row r="12" spans="1:9" ht="14.4" x14ac:dyDescent="0.3">
      <c r="A12" t="s">
        <v>75</v>
      </c>
      <c r="C12" t="s">
        <v>8</v>
      </c>
      <c r="D12" s="11">
        <v>2</v>
      </c>
      <c r="E12" t="s">
        <v>106</v>
      </c>
      <c r="F12" t="s">
        <v>37</v>
      </c>
      <c r="G12" t="s">
        <v>111</v>
      </c>
      <c r="H12" t="s">
        <v>114</v>
      </c>
    </row>
    <row r="13" spans="1:9" ht="14.4" x14ac:dyDescent="0.3">
      <c r="A13" t="s">
        <v>78</v>
      </c>
      <c r="B13" t="s">
        <v>79</v>
      </c>
      <c r="C13" t="s">
        <v>63</v>
      </c>
      <c r="D13" s="11">
        <v>2</v>
      </c>
      <c r="E13" t="s">
        <v>106</v>
      </c>
      <c r="F13" t="s">
        <v>37</v>
      </c>
      <c r="G13" t="s">
        <v>107</v>
      </c>
      <c r="I13" t="s">
        <v>109</v>
      </c>
    </row>
    <row r="14" spans="1:9" ht="14.4" x14ac:dyDescent="0.3">
      <c r="A14" t="s">
        <v>116</v>
      </c>
      <c r="C14" t="s">
        <v>8</v>
      </c>
      <c r="D14" s="11">
        <v>2</v>
      </c>
      <c r="E14" t="s">
        <v>106</v>
      </c>
      <c r="F14" t="s">
        <v>37</v>
      </c>
      <c r="G14" t="s">
        <v>111</v>
      </c>
      <c r="H14" t="s">
        <v>114</v>
      </c>
    </row>
    <row r="15" spans="1:9" ht="14.4" x14ac:dyDescent="0.3">
      <c r="A15" t="s">
        <v>117</v>
      </c>
      <c r="C15" t="s">
        <v>8</v>
      </c>
      <c r="D15" s="11">
        <v>2</v>
      </c>
      <c r="E15" t="s">
        <v>106</v>
      </c>
      <c r="F15" t="s">
        <v>37</v>
      </c>
      <c r="G15" t="s">
        <v>111</v>
      </c>
      <c r="H15" t="s">
        <v>114</v>
      </c>
    </row>
    <row r="16" spans="1:9" ht="14.4" x14ac:dyDescent="0.3">
      <c r="A16" t="s">
        <v>43</v>
      </c>
      <c r="B16" t="s">
        <v>35</v>
      </c>
      <c r="C16" t="s">
        <v>40</v>
      </c>
      <c r="D16" s="12">
        <v>1.5</v>
      </c>
      <c r="E16" t="s">
        <v>106</v>
      </c>
      <c r="F16" t="s">
        <v>37</v>
      </c>
      <c r="G16" t="s">
        <v>107</v>
      </c>
      <c r="H16" t="s">
        <v>108</v>
      </c>
      <c r="I16" t="s">
        <v>109</v>
      </c>
    </row>
    <row r="17" spans="1:10" ht="14.4" x14ac:dyDescent="0.3">
      <c r="A17" t="s">
        <v>118</v>
      </c>
      <c r="B17" t="s">
        <v>115</v>
      </c>
      <c r="C17" t="s">
        <v>8</v>
      </c>
      <c r="D17" s="11">
        <v>1</v>
      </c>
      <c r="E17" t="s">
        <v>106</v>
      </c>
      <c r="F17" t="s">
        <v>10</v>
      </c>
      <c r="G17" t="s">
        <v>111</v>
      </c>
      <c r="I17" t="s">
        <v>109</v>
      </c>
    </row>
    <row r="18" spans="1:10" ht="14.4" x14ac:dyDescent="0.3">
      <c r="A18" t="s">
        <v>119</v>
      </c>
      <c r="B18" t="s">
        <v>120</v>
      </c>
      <c r="C18" t="s">
        <v>8</v>
      </c>
      <c r="D18" s="11">
        <v>1</v>
      </c>
      <c r="E18" t="s">
        <v>106</v>
      </c>
      <c r="F18" t="s">
        <v>10</v>
      </c>
      <c r="G18" t="s">
        <v>111</v>
      </c>
      <c r="I18" t="s">
        <v>109</v>
      </c>
    </row>
    <row r="19" spans="1:10" ht="14.4" x14ac:dyDescent="0.3">
      <c r="A19" s="13" t="s">
        <v>14</v>
      </c>
      <c r="B19" t="s">
        <v>121</v>
      </c>
      <c r="C19" t="s">
        <v>8</v>
      </c>
      <c r="D19" s="11">
        <v>1</v>
      </c>
      <c r="E19" t="s">
        <v>106</v>
      </c>
      <c r="F19" t="s">
        <v>10</v>
      </c>
      <c r="G19" t="s">
        <v>111</v>
      </c>
      <c r="I19" t="s">
        <v>109</v>
      </c>
    </row>
    <row r="20" spans="1:10" ht="14.4" x14ac:dyDescent="0.3">
      <c r="A20" t="s">
        <v>18</v>
      </c>
      <c r="B20" t="s">
        <v>122</v>
      </c>
      <c r="C20" t="s">
        <v>20</v>
      </c>
      <c r="D20" s="11">
        <v>1</v>
      </c>
      <c r="E20" t="s">
        <v>106</v>
      </c>
      <c r="F20" t="s">
        <v>10</v>
      </c>
      <c r="G20" t="s">
        <v>111</v>
      </c>
      <c r="I20" t="s">
        <v>109</v>
      </c>
    </row>
    <row r="21" spans="1:10" ht="14.4" x14ac:dyDescent="0.3">
      <c r="A21" t="s">
        <v>24</v>
      </c>
      <c r="B21" t="s">
        <v>25</v>
      </c>
      <c r="C21" t="s">
        <v>8</v>
      </c>
      <c r="D21" s="11">
        <v>1</v>
      </c>
      <c r="E21" t="s">
        <v>106</v>
      </c>
      <c r="F21" t="s">
        <v>10</v>
      </c>
      <c r="G21" t="s">
        <v>111</v>
      </c>
      <c r="I21" t="s">
        <v>109</v>
      </c>
    </row>
    <row r="22" spans="1:10" ht="14.4" x14ac:dyDescent="0.3">
      <c r="A22" t="s">
        <v>26</v>
      </c>
      <c r="B22" t="s">
        <v>27</v>
      </c>
      <c r="C22" t="s">
        <v>8</v>
      </c>
      <c r="D22" s="11">
        <v>1</v>
      </c>
      <c r="E22" t="s">
        <v>106</v>
      </c>
      <c r="F22" t="s">
        <v>10</v>
      </c>
      <c r="G22" t="s">
        <v>111</v>
      </c>
      <c r="I22" t="s">
        <v>109</v>
      </c>
    </row>
    <row r="23" spans="1:10" ht="13.5" customHeight="1" x14ac:dyDescent="0.3">
      <c r="A23" t="s">
        <v>30</v>
      </c>
      <c r="B23" t="s">
        <v>31</v>
      </c>
      <c r="C23" t="s">
        <v>32</v>
      </c>
      <c r="D23" s="11">
        <v>1</v>
      </c>
      <c r="E23" t="s">
        <v>106</v>
      </c>
      <c r="F23" t="s">
        <v>10</v>
      </c>
      <c r="G23" t="s">
        <v>111</v>
      </c>
      <c r="I23" t="s">
        <v>109</v>
      </c>
    </row>
    <row r="24" spans="1:10" ht="14.4" x14ac:dyDescent="0.3">
      <c r="A24" t="s">
        <v>34</v>
      </c>
      <c r="B24" t="s">
        <v>35</v>
      </c>
      <c r="C24" t="s">
        <v>40</v>
      </c>
      <c r="D24" s="11">
        <v>1</v>
      </c>
      <c r="E24" t="s">
        <v>106</v>
      </c>
      <c r="F24" t="s">
        <v>37</v>
      </c>
      <c r="G24" t="s">
        <v>107</v>
      </c>
      <c r="H24" t="s">
        <v>108</v>
      </c>
    </row>
    <row r="25" spans="1:10" ht="14.4" x14ac:dyDescent="0.3">
      <c r="A25" t="s">
        <v>38</v>
      </c>
      <c r="B25" t="s">
        <v>39</v>
      </c>
      <c r="C25" t="s">
        <v>40</v>
      </c>
      <c r="D25" s="11">
        <v>6</v>
      </c>
      <c r="E25" t="s">
        <v>106</v>
      </c>
      <c r="F25" t="s">
        <v>37</v>
      </c>
      <c r="G25" t="s">
        <v>107</v>
      </c>
      <c r="H25" t="s">
        <v>114</v>
      </c>
      <c r="I25" t="s">
        <v>109</v>
      </c>
    </row>
    <row r="26" spans="1:10" ht="14.4" x14ac:dyDescent="0.3">
      <c r="A26" t="s">
        <v>123</v>
      </c>
      <c r="C26" t="s">
        <v>40</v>
      </c>
      <c r="D26" s="11">
        <v>2</v>
      </c>
      <c r="E26" t="s">
        <v>106</v>
      </c>
      <c r="F26" t="s">
        <v>37</v>
      </c>
      <c r="G26" t="s">
        <v>107</v>
      </c>
      <c r="H26" t="s">
        <v>124</v>
      </c>
    </row>
    <row r="27" spans="1:10" ht="14.4" x14ac:dyDescent="0.3">
      <c r="A27" s="24" t="s">
        <v>44</v>
      </c>
      <c r="B27" s="24" t="s">
        <v>45</v>
      </c>
      <c r="C27" s="24" t="s">
        <v>125</v>
      </c>
      <c r="D27" s="25">
        <v>1</v>
      </c>
      <c r="E27" s="24" t="s">
        <v>106</v>
      </c>
      <c r="F27" s="24" t="s">
        <v>37</v>
      </c>
      <c r="G27" s="24" t="s">
        <v>107</v>
      </c>
      <c r="H27" s="24" t="s">
        <v>108</v>
      </c>
      <c r="I27" s="24" t="s">
        <v>126</v>
      </c>
    </row>
    <row r="28" spans="1:10" ht="14.4" x14ac:dyDescent="0.3">
      <c r="A28" t="s">
        <v>48</v>
      </c>
      <c r="B28" t="s">
        <v>49</v>
      </c>
      <c r="C28" t="s">
        <v>40</v>
      </c>
      <c r="D28" s="11">
        <v>1</v>
      </c>
      <c r="E28" t="s">
        <v>106</v>
      </c>
      <c r="F28" t="s">
        <v>37</v>
      </c>
      <c r="G28" t="s">
        <v>107</v>
      </c>
      <c r="H28" t="s">
        <v>108</v>
      </c>
      <c r="I28" t="s">
        <v>109</v>
      </c>
    </row>
    <row r="29" spans="1:10" ht="14.4" x14ac:dyDescent="0.3">
      <c r="A29" t="s">
        <v>51</v>
      </c>
      <c r="B29" t="s">
        <v>52</v>
      </c>
      <c r="C29" t="s">
        <v>40</v>
      </c>
      <c r="D29" s="11">
        <v>1</v>
      </c>
      <c r="E29" t="s">
        <v>106</v>
      </c>
      <c r="F29" t="s">
        <v>37</v>
      </c>
      <c r="G29" t="s">
        <v>107</v>
      </c>
      <c r="I29" t="s">
        <v>109</v>
      </c>
    </row>
    <row r="30" spans="1:10" ht="14.4" x14ac:dyDescent="0.3">
      <c r="A30" t="s">
        <v>61</v>
      </c>
      <c r="B30" t="s">
        <v>62</v>
      </c>
      <c r="C30" t="s">
        <v>63</v>
      </c>
      <c r="D30" s="11">
        <v>1</v>
      </c>
      <c r="E30" t="s">
        <v>106</v>
      </c>
      <c r="F30" t="s">
        <v>37</v>
      </c>
      <c r="G30" t="s">
        <v>107</v>
      </c>
      <c r="I30" t="s">
        <v>109</v>
      </c>
      <c r="J30" t="s">
        <v>127</v>
      </c>
    </row>
    <row r="31" spans="1:10" ht="14.4" x14ac:dyDescent="0.3">
      <c r="A31" t="s">
        <v>94</v>
      </c>
      <c r="B31" t="s">
        <v>95</v>
      </c>
      <c r="C31" t="s">
        <v>40</v>
      </c>
      <c r="D31" s="11">
        <v>1</v>
      </c>
      <c r="E31" t="s">
        <v>106</v>
      </c>
      <c r="F31" t="s">
        <v>37</v>
      </c>
      <c r="G31" t="s">
        <v>107</v>
      </c>
      <c r="H31" t="s">
        <v>108</v>
      </c>
    </row>
    <row r="32" spans="1:10" ht="14.4" x14ac:dyDescent="0.3">
      <c r="A32" t="s">
        <v>128</v>
      </c>
      <c r="C32" t="s">
        <v>8</v>
      </c>
      <c r="D32" s="11">
        <v>1</v>
      </c>
      <c r="E32" t="s">
        <v>106</v>
      </c>
      <c r="F32" t="s">
        <v>37</v>
      </c>
      <c r="G32" t="s">
        <v>111</v>
      </c>
      <c r="J32" t="s">
        <v>129</v>
      </c>
    </row>
    <row r="33" spans="1:9" ht="14.4" x14ac:dyDescent="0.3">
      <c r="A33" t="s">
        <v>130</v>
      </c>
      <c r="C33" t="s">
        <v>23</v>
      </c>
      <c r="D33" s="11">
        <v>1</v>
      </c>
      <c r="E33" t="s">
        <v>106</v>
      </c>
      <c r="F33" t="s">
        <v>37</v>
      </c>
      <c r="G33" t="s">
        <v>111</v>
      </c>
    </row>
    <row r="34" spans="1:9" ht="14.4" x14ac:dyDescent="0.3">
      <c r="A34" t="s">
        <v>131</v>
      </c>
      <c r="C34" t="s">
        <v>23</v>
      </c>
      <c r="D34" s="11">
        <v>1</v>
      </c>
      <c r="E34" t="s">
        <v>106</v>
      </c>
      <c r="F34" t="s">
        <v>37</v>
      </c>
      <c r="G34" t="s">
        <v>111</v>
      </c>
    </row>
    <row r="35" spans="1:9" ht="14.4" x14ac:dyDescent="0.3">
      <c r="A35" t="s">
        <v>132</v>
      </c>
      <c r="B35" t="s">
        <v>35</v>
      </c>
      <c r="C35" t="s">
        <v>40</v>
      </c>
      <c r="D35" s="11">
        <v>1</v>
      </c>
      <c r="E35" t="s">
        <v>106</v>
      </c>
      <c r="F35" t="s">
        <v>37</v>
      </c>
      <c r="G35" t="s">
        <v>107</v>
      </c>
    </row>
    <row r="36" spans="1:9" ht="14.4" x14ac:dyDescent="0.3">
      <c r="A36" t="s">
        <v>133</v>
      </c>
      <c r="B36" t="s">
        <v>134</v>
      </c>
      <c r="C36" t="s">
        <v>8</v>
      </c>
      <c r="D36" s="11">
        <v>1</v>
      </c>
      <c r="E36" t="s">
        <v>135</v>
      </c>
      <c r="F36" t="s">
        <v>37</v>
      </c>
      <c r="G36" t="s">
        <v>111</v>
      </c>
      <c r="H36" t="s">
        <v>108</v>
      </c>
      <c r="I36" t="s">
        <v>109</v>
      </c>
    </row>
    <row r="37" spans="1:9" ht="14.4" x14ac:dyDescent="0.3">
      <c r="A37" t="s">
        <v>136</v>
      </c>
      <c r="C37" t="s">
        <v>8</v>
      </c>
      <c r="D37" s="11">
        <v>1</v>
      </c>
      <c r="E37" t="s">
        <v>135</v>
      </c>
      <c r="F37" t="s">
        <v>137</v>
      </c>
      <c r="G37" t="s">
        <v>111</v>
      </c>
      <c r="H37" t="s">
        <v>108</v>
      </c>
      <c r="I37" t="s">
        <v>109</v>
      </c>
    </row>
    <row r="38" spans="1:9" ht="14.4" x14ac:dyDescent="0.3">
      <c r="A38" t="s">
        <v>138</v>
      </c>
      <c r="C38" t="s">
        <v>8</v>
      </c>
      <c r="D38" s="11">
        <v>1</v>
      </c>
      <c r="E38" t="s">
        <v>135</v>
      </c>
      <c r="F38" t="s">
        <v>37</v>
      </c>
      <c r="G38" t="s">
        <v>111</v>
      </c>
      <c r="H38" t="s">
        <v>108</v>
      </c>
      <c r="I38" t="s">
        <v>109</v>
      </c>
    </row>
    <row r="39" spans="1:9" ht="14.4" x14ac:dyDescent="0.3">
      <c r="A39" t="s">
        <v>139</v>
      </c>
      <c r="C39" t="s">
        <v>8</v>
      </c>
      <c r="D39" s="11">
        <v>1</v>
      </c>
      <c r="E39" t="s">
        <v>106</v>
      </c>
      <c r="F39" t="s">
        <v>37</v>
      </c>
      <c r="G39" t="s">
        <v>111</v>
      </c>
      <c r="H39" t="s">
        <v>108</v>
      </c>
      <c r="I39" t="s">
        <v>109</v>
      </c>
    </row>
    <row r="40" spans="1:9" ht="14.4" x14ac:dyDescent="0.3">
      <c r="A40" t="s">
        <v>28</v>
      </c>
      <c r="B40" t="s">
        <v>29</v>
      </c>
      <c r="C40" t="s">
        <v>8</v>
      </c>
      <c r="D40" s="12">
        <v>0.5</v>
      </c>
      <c r="E40" t="s">
        <v>106</v>
      </c>
      <c r="F40" t="s">
        <v>10</v>
      </c>
      <c r="G40" t="s">
        <v>111</v>
      </c>
      <c r="I40" t="s">
        <v>109</v>
      </c>
    </row>
    <row r="41" spans="1:9" ht="14.4" x14ac:dyDescent="0.3">
      <c r="A41" t="s">
        <v>86</v>
      </c>
      <c r="C41" t="s">
        <v>63</v>
      </c>
      <c r="D41" s="12">
        <v>0.5</v>
      </c>
      <c r="E41" t="s">
        <v>106</v>
      </c>
      <c r="F41" t="s">
        <v>37</v>
      </c>
      <c r="G41" t="s">
        <v>107</v>
      </c>
      <c r="H41" t="s">
        <v>108</v>
      </c>
    </row>
    <row r="42" spans="1:9" ht="14.4" x14ac:dyDescent="0.3">
      <c r="A42" t="s">
        <v>140</v>
      </c>
      <c r="B42" t="s">
        <v>141</v>
      </c>
      <c r="C42" t="s">
        <v>8</v>
      </c>
      <c r="D42" s="11">
        <v>3</v>
      </c>
      <c r="E42" t="s">
        <v>39</v>
      </c>
      <c r="F42" t="s">
        <v>10</v>
      </c>
      <c r="G42" t="s">
        <v>111</v>
      </c>
    </row>
    <row r="43" spans="1:9" ht="15" customHeight="1" x14ac:dyDescent="0.3">
      <c r="A43" s="15" t="s">
        <v>142</v>
      </c>
      <c r="B43" t="s">
        <v>120</v>
      </c>
      <c r="C43" t="s">
        <v>8</v>
      </c>
      <c r="D43" s="11">
        <v>0.5</v>
      </c>
      <c r="E43" t="s">
        <v>39</v>
      </c>
      <c r="F43" t="s">
        <v>143</v>
      </c>
      <c r="G43" t="s">
        <v>111</v>
      </c>
    </row>
    <row r="44" spans="1:9" ht="15" customHeight="1" x14ac:dyDescent="0.3">
      <c r="A44" t="s">
        <v>144</v>
      </c>
      <c r="B44" t="s">
        <v>145</v>
      </c>
      <c r="C44" t="s">
        <v>23</v>
      </c>
      <c r="D44" s="11">
        <v>40</v>
      </c>
      <c r="E44" t="s">
        <v>39</v>
      </c>
      <c r="F44" t="s">
        <v>143</v>
      </c>
      <c r="G44" t="s">
        <v>111</v>
      </c>
    </row>
    <row r="45" spans="1:9" ht="15" customHeight="1" x14ac:dyDescent="0.3">
      <c r="A45" t="s">
        <v>146</v>
      </c>
      <c r="B45" t="s">
        <v>147</v>
      </c>
      <c r="C45" t="s">
        <v>23</v>
      </c>
      <c r="D45" s="11">
        <v>1</v>
      </c>
      <c r="E45" t="s">
        <v>39</v>
      </c>
      <c r="F45" t="s">
        <v>143</v>
      </c>
      <c r="G45" t="s">
        <v>111</v>
      </c>
    </row>
    <row r="46" spans="1:9" ht="15" customHeight="1" x14ac:dyDescent="0.3">
      <c r="A46" t="s">
        <v>148</v>
      </c>
      <c r="B46" t="s">
        <v>62</v>
      </c>
      <c r="C46" t="s">
        <v>63</v>
      </c>
      <c r="D46" s="11">
        <v>1</v>
      </c>
      <c r="E46" t="s">
        <v>39</v>
      </c>
      <c r="F46" t="s">
        <v>137</v>
      </c>
      <c r="G46" t="s">
        <v>107</v>
      </c>
    </row>
    <row r="47" spans="1:9" ht="15" customHeight="1" x14ac:dyDescent="0.3">
      <c r="A47" t="s">
        <v>149</v>
      </c>
      <c r="C47" t="s">
        <v>63</v>
      </c>
      <c r="D47" s="11">
        <v>8</v>
      </c>
      <c r="E47" t="s">
        <v>39</v>
      </c>
      <c r="F47" t="s">
        <v>137</v>
      </c>
      <c r="G47" t="s">
        <v>107</v>
      </c>
    </row>
    <row r="48" spans="1:9" ht="15" customHeight="1" x14ac:dyDescent="0.3">
      <c r="A48" t="s">
        <v>150</v>
      </c>
      <c r="B48" t="s">
        <v>151</v>
      </c>
      <c r="C48" t="s">
        <v>8</v>
      </c>
      <c r="D48" s="11">
        <v>2</v>
      </c>
      <c r="E48" t="s">
        <v>39</v>
      </c>
      <c r="F48" t="s">
        <v>143</v>
      </c>
      <c r="G48" t="s">
        <v>111</v>
      </c>
    </row>
    <row r="49" spans="1:9" ht="15" customHeight="1" x14ac:dyDescent="0.3">
      <c r="A49" t="s">
        <v>152</v>
      </c>
      <c r="B49" t="s">
        <v>153</v>
      </c>
      <c r="C49" t="s">
        <v>40</v>
      </c>
      <c r="D49" s="11">
        <v>5</v>
      </c>
      <c r="E49" t="s">
        <v>39</v>
      </c>
      <c r="F49" t="s">
        <v>143</v>
      </c>
      <c r="G49" t="s">
        <v>111</v>
      </c>
    </row>
    <row r="50" spans="1:9" ht="15" customHeight="1" x14ac:dyDescent="0.3">
      <c r="A50" t="s">
        <v>154</v>
      </c>
      <c r="B50" t="s">
        <v>155</v>
      </c>
      <c r="C50" t="s">
        <v>156</v>
      </c>
      <c r="D50" s="11">
        <v>8</v>
      </c>
      <c r="E50" t="s">
        <v>39</v>
      </c>
      <c r="F50" t="s">
        <v>137</v>
      </c>
      <c r="G50" t="s">
        <v>107</v>
      </c>
      <c r="H50" t="s">
        <v>157</v>
      </c>
    </row>
    <row r="51" spans="1:9" ht="15" customHeight="1" x14ac:dyDescent="0.3">
      <c r="A51" t="s">
        <v>158</v>
      </c>
      <c r="B51" t="s">
        <v>155</v>
      </c>
      <c r="C51" t="s">
        <v>156</v>
      </c>
      <c r="D51" s="11">
        <v>2</v>
      </c>
      <c r="E51" t="s">
        <v>7</v>
      </c>
      <c r="F51" t="s">
        <v>143</v>
      </c>
      <c r="G51" t="s">
        <v>111</v>
      </c>
    </row>
    <row r="52" spans="1:9" ht="15" customHeight="1" x14ac:dyDescent="0.3">
      <c r="A52" t="s">
        <v>159</v>
      </c>
      <c r="B52" t="s">
        <v>155</v>
      </c>
      <c r="C52" t="s">
        <v>156</v>
      </c>
      <c r="D52" s="11">
        <v>2</v>
      </c>
      <c r="E52" t="s">
        <v>160</v>
      </c>
      <c r="F52" t="s">
        <v>143</v>
      </c>
      <c r="G52" t="s">
        <v>111</v>
      </c>
    </row>
    <row r="53" spans="1:9" ht="14.4" x14ac:dyDescent="0.3">
      <c r="A53" t="s">
        <v>161</v>
      </c>
      <c r="B53" t="s">
        <v>162</v>
      </c>
      <c r="C53" t="s">
        <v>163</v>
      </c>
      <c r="D53" s="11">
        <v>1</v>
      </c>
      <c r="E53" t="s">
        <v>164</v>
      </c>
      <c r="F53" t="s">
        <v>143</v>
      </c>
      <c r="G53" t="s">
        <v>111</v>
      </c>
    </row>
    <row r="54" spans="1:9" ht="14.4" x14ac:dyDescent="0.3">
      <c r="A54" t="s">
        <v>165</v>
      </c>
      <c r="B54" t="s">
        <v>166</v>
      </c>
      <c r="C54" t="s">
        <v>8</v>
      </c>
      <c r="D54" s="12">
        <v>0.5</v>
      </c>
      <c r="E54" t="s">
        <v>120</v>
      </c>
      <c r="F54" t="s">
        <v>143</v>
      </c>
      <c r="G54" t="s">
        <v>111</v>
      </c>
      <c r="I54" t="s">
        <v>167</v>
      </c>
    </row>
    <row r="55" spans="1:9" ht="14.4" x14ac:dyDescent="0.3">
      <c r="A55" t="s">
        <v>168</v>
      </c>
      <c r="B55" t="s">
        <v>169</v>
      </c>
      <c r="C55" t="s">
        <v>8</v>
      </c>
      <c r="D55" s="11">
        <v>4</v>
      </c>
      <c r="E55" t="s">
        <v>120</v>
      </c>
      <c r="F55" t="s">
        <v>143</v>
      </c>
      <c r="G55" t="s">
        <v>111</v>
      </c>
    </row>
    <row r="56" spans="1:9" ht="14.4" x14ac:dyDescent="0.3">
      <c r="A56" t="s">
        <v>170</v>
      </c>
      <c r="B56" t="s">
        <v>35</v>
      </c>
      <c r="C56" t="s">
        <v>8</v>
      </c>
      <c r="D56" s="11">
        <v>1</v>
      </c>
      <c r="E56" t="s">
        <v>120</v>
      </c>
      <c r="F56" t="s">
        <v>143</v>
      </c>
      <c r="G56" t="s">
        <v>111</v>
      </c>
    </row>
    <row r="57" spans="1:9" ht="14.4" x14ac:dyDescent="0.3">
      <c r="A57" t="s">
        <v>171</v>
      </c>
      <c r="B57" t="s">
        <v>172</v>
      </c>
      <c r="C57" t="s">
        <v>8</v>
      </c>
      <c r="D57" s="11">
        <v>1</v>
      </c>
      <c r="E57" t="s">
        <v>120</v>
      </c>
      <c r="F57" t="s">
        <v>143</v>
      </c>
      <c r="G57" t="s">
        <v>111</v>
      </c>
    </row>
    <row r="58" spans="1:9" ht="14.4" x14ac:dyDescent="0.3">
      <c r="A58" s="15" t="s">
        <v>173</v>
      </c>
      <c r="B58" t="s">
        <v>174</v>
      </c>
      <c r="C58" t="s">
        <v>8</v>
      </c>
      <c r="D58" s="12">
        <v>0.5</v>
      </c>
      <c r="E58" t="s">
        <v>120</v>
      </c>
      <c r="F58" t="s">
        <v>143</v>
      </c>
      <c r="G58" t="s">
        <v>111</v>
      </c>
      <c r="I58" t="s">
        <v>175</v>
      </c>
    </row>
    <row r="59" spans="1:9" ht="14.4" x14ac:dyDescent="0.3">
      <c r="A59" s="15" t="s">
        <v>176</v>
      </c>
      <c r="B59" t="s">
        <v>174</v>
      </c>
      <c r="C59" t="s">
        <v>8</v>
      </c>
      <c r="D59" s="12">
        <v>0.5</v>
      </c>
      <c r="E59" t="s">
        <v>120</v>
      </c>
      <c r="F59" t="s">
        <v>143</v>
      </c>
      <c r="G59" t="s">
        <v>111</v>
      </c>
      <c r="I59" t="s">
        <v>175</v>
      </c>
    </row>
    <row r="60" spans="1:9" ht="15" customHeight="1" x14ac:dyDescent="0.3">
      <c r="A60" s="15" t="s">
        <v>177</v>
      </c>
      <c r="B60" t="s">
        <v>174</v>
      </c>
      <c r="C60" t="s">
        <v>8</v>
      </c>
      <c r="D60" s="12">
        <v>0.5</v>
      </c>
      <c r="E60" t="s">
        <v>120</v>
      </c>
      <c r="F60" t="s">
        <v>143</v>
      </c>
      <c r="G60" t="s">
        <v>111</v>
      </c>
      <c r="I60" t="s">
        <v>175</v>
      </c>
    </row>
    <row r="61" spans="1:9" ht="15" customHeight="1" x14ac:dyDescent="0.3">
      <c r="A61" s="15" t="s">
        <v>178</v>
      </c>
      <c r="B61" t="s">
        <v>174</v>
      </c>
      <c r="C61" t="s">
        <v>8</v>
      </c>
      <c r="D61" s="12">
        <v>0.5</v>
      </c>
      <c r="E61" t="s">
        <v>120</v>
      </c>
      <c r="F61" t="s">
        <v>143</v>
      </c>
      <c r="G61" t="s">
        <v>111</v>
      </c>
      <c r="I61" t="s">
        <v>175</v>
      </c>
    </row>
    <row r="62" spans="1:9" ht="15" customHeight="1" x14ac:dyDescent="0.3">
      <c r="A62" s="15" t="s">
        <v>179</v>
      </c>
      <c r="B62" t="s">
        <v>174</v>
      </c>
      <c r="C62" t="s">
        <v>8</v>
      </c>
      <c r="D62" s="12">
        <v>0.5</v>
      </c>
      <c r="E62" t="s">
        <v>120</v>
      </c>
      <c r="F62" t="s">
        <v>143</v>
      </c>
      <c r="G62" t="s">
        <v>111</v>
      </c>
      <c r="I62" t="s">
        <v>175</v>
      </c>
    </row>
    <row r="63" spans="1:9" ht="15" customHeight="1" x14ac:dyDescent="0.3">
      <c r="A63" s="15" t="s">
        <v>142</v>
      </c>
      <c r="C63" t="s">
        <v>8</v>
      </c>
      <c r="D63" s="12">
        <v>0.5</v>
      </c>
      <c r="E63" t="s">
        <v>120</v>
      </c>
      <c r="F63" t="s">
        <v>143</v>
      </c>
      <c r="G63" t="s">
        <v>111</v>
      </c>
    </row>
    <row r="64" spans="1:9" ht="15" customHeight="1" x14ac:dyDescent="0.3">
      <c r="A64" t="s">
        <v>180</v>
      </c>
      <c r="C64" t="s">
        <v>8</v>
      </c>
      <c r="D64" s="12">
        <v>0.5</v>
      </c>
      <c r="E64" t="s">
        <v>164</v>
      </c>
      <c r="F64" t="s">
        <v>143</v>
      </c>
      <c r="G64" t="s">
        <v>111</v>
      </c>
    </row>
    <row r="65" spans="1:9" ht="15" customHeight="1" x14ac:dyDescent="0.3">
      <c r="A65" t="s">
        <v>181</v>
      </c>
      <c r="C65" t="s">
        <v>163</v>
      </c>
      <c r="D65" s="12">
        <v>0.5</v>
      </c>
      <c r="E65" t="s">
        <v>164</v>
      </c>
      <c r="F65" t="s">
        <v>143</v>
      </c>
      <c r="G65" t="s">
        <v>111</v>
      </c>
    </row>
    <row r="66" spans="1:9" ht="15" customHeight="1" x14ac:dyDescent="0.3">
      <c r="A66" t="s">
        <v>182</v>
      </c>
      <c r="C66" t="s">
        <v>8</v>
      </c>
      <c r="D66" s="12">
        <v>0.5</v>
      </c>
      <c r="E66" t="s">
        <v>164</v>
      </c>
      <c r="F66" t="s">
        <v>143</v>
      </c>
      <c r="G66" t="s">
        <v>111</v>
      </c>
    </row>
    <row r="67" spans="1:9" ht="15" customHeight="1" x14ac:dyDescent="0.3">
      <c r="A67" t="s">
        <v>183</v>
      </c>
      <c r="C67" t="s">
        <v>8</v>
      </c>
      <c r="D67" s="12">
        <v>0.5</v>
      </c>
      <c r="E67" t="s">
        <v>164</v>
      </c>
      <c r="F67" t="s">
        <v>143</v>
      </c>
      <c r="G67" t="s">
        <v>111</v>
      </c>
    </row>
    <row r="68" spans="1:9" ht="15" customHeight="1" x14ac:dyDescent="0.3">
      <c r="A68" t="s">
        <v>184</v>
      </c>
      <c r="B68" t="s">
        <v>172</v>
      </c>
      <c r="C68" t="s">
        <v>8</v>
      </c>
      <c r="D68" s="12">
        <v>0.5</v>
      </c>
      <c r="E68" t="s">
        <v>185</v>
      </c>
      <c r="F68" t="s">
        <v>143</v>
      </c>
      <c r="G68" t="s">
        <v>111</v>
      </c>
    </row>
    <row r="69" spans="1:9" ht="15" customHeight="1" x14ac:dyDescent="0.3">
      <c r="A69" s="24" t="s">
        <v>186</v>
      </c>
      <c r="B69" s="24" t="s">
        <v>187</v>
      </c>
      <c r="C69" s="24" t="s">
        <v>8</v>
      </c>
      <c r="D69" s="25">
        <v>0</v>
      </c>
      <c r="E69" s="24" t="s">
        <v>188</v>
      </c>
      <c r="F69" s="24" t="s">
        <v>143</v>
      </c>
      <c r="G69" s="24"/>
      <c r="H69" s="24"/>
      <c r="I69" s="24" t="s">
        <v>189</v>
      </c>
    </row>
    <row r="70" spans="1:9" ht="15" customHeight="1" x14ac:dyDescent="0.3">
      <c r="A70" t="s">
        <v>190</v>
      </c>
      <c r="D70" s="12">
        <v>0</v>
      </c>
      <c r="E70" t="s">
        <v>188</v>
      </c>
      <c r="F70" t="s">
        <v>143</v>
      </c>
      <c r="H70" t="s">
        <v>191</v>
      </c>
    </row>
    <row r="71" spans="1:9" ht="15" customHeight="1" x14ac:dyDescent="0.3">
      <c r="A71" t="s">
        <v>192</v>
      </c>
      <c r="B71" t="s">
        <v>193</v>
      </c>
      <c r="C71" t="s">
        <v>8</v>
      </c>
      <c r="E71" t="s">
        <v>160</v>
      </c>
      <c r="F71" t="s">
        <v>143</v>
      </c>
      <c r="G71" t="s">
        <v>111</v>
      </c>
      <c r="H71" t="s">
        <v>194</v>
      </c>
    </row>
    <row r="72" spans="1:9" s="26" customFormat="1" ht="15" customHeight="1" x14ac:dyDescent="0.3">
      <c r="A72" s="26" t="s">
        <v>195</v>
      </c>
      <c r="B72" t="s">
        <v>196</v>
      </c>
      <c r="C72" t="s">
        <v>8</v>
      </c>
      <c r="D72" s="23">
        <f>(72*10)/60</f>
        <v>12</v>
      </c>
      <c r="E72" t="s">
        <v>197</v>
      </c>
      <c r="F72" t="s">
        <v>143</v>
      </c>
      <c r="G72" t="s">
        <v>111</v>
      </c>
      <c r="H72" s="26" t="s">
        <v>198</v>
      </c>
      <c r="I72" s="26" t="s">
        <v>199</v>
      </c>
    </row>
    <row r="73" spans="1:9" s="26" customFormat="1" ht="15" customHeight="1" x14ac:dyDescent="0.3">
      <c r="A73" s="26" t="s">
        <v>195</v>
      </c>
      <c r="B73" t="s">
        <v>196</v>
      </c>
      <c r="C73" t="s">
        <v>8</v>
      </c>
      <c r="D73" s="23">
        <v>2</v>
      </c>
      <c r="E73" t="s">
        <v>106</v>
      </c>
      <c r="F73" t="s">
        <v>143</v>
      </c>
      <c r="G73" t="s">
        <v>111</v>
      </c>
      <c r="I73" s="26" t="s">
        <v>199</v>
      </c>
    </row>
    <row r="74" spans="1:9" ht="27.6" customHeight="1" x14ac:dyDescent="0.3">
      <c r="A74" s="24" t="s">
        <v>200</v>
      </c>
      <c r="B74" s="24" t="s">
        <v>201</v>
      </c>
      <c r="C74" s="24" t="s">
        <v>163</v>
      </c>
      <c r="D74" s="25">
        <f>1*17</f>
        <v>17</v>
      </c>
      <c r="E74" s="24" t="s">
        <v>202</v>
      </c>
      <c r="F74" s="24" t="s">
        <v>143</v>
      </c>
      <c r="G74" s="24" t="s">
        <v>111</v>
      </c>
      <c r="H74" s="27" t="s">
        <v>203</v>
      </c>
      <c r="I74" s="24" t="s">
        <v>199</v>
      </c>
    </row>
    <row r="75" spans="1:9" ht="15" customHeight="1" x14ac:dyDescent="0.3">
      <c r="A75" t="s">
        <v>204</v>
      </c>
      <c r="B75" t="s">
        <v>205</v>
      </c>
      <c r="C75" t="s">
        <v>20</v>
      </c>
      <c r="D75" s="14" t="s">
        <v>206</v>
      </c>
      <c r="E75" t="s">
        <v>106</v>
      </c>
      <c r="F75" t="s">
        <v>10</v>
      </c>
      <c r="G75" t="s">
        <v>111</v>
      </c>
      <c r="H75" t="s">
        <v>207</v>
      </c>
    </row>
    <row r="76" spans="1:9" ht="15" customHeight="1" x14ac:dyDescent="0.3">
      <c r="A76" t="s">
        <v>208</v>
      </c>
      <c r="B76" t="s">
        <v>120</v>
      </c>
      <c r="C76" t="s">
        <v>8</v>
      </c>
      <c r="D76" s="14" t="s">
        <v>209</v>
      </c>
      <c r="E76" t="s">
        <v>106</v>
      </c>
      <c r="F76" t="s">
        <v>10</v>
      </c>
      <c r="G76" t="s">
        <v>111</v>
      </c>
      <c r="H76" t="s">
        <v>210</v>
      </c>
    </row>
  </sheetData>
  <autoFilter ref="A1:G70" xr:uid="{46718B5E-3799-48A0-9F3F-AC88877711DD}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69C2-98AD-40BE-86A3-FA3CA06C3E7E}">
  <dimension ref="A1:F22"/>
  <sheetViews>
    <sheetView workbookViewId="0">
      <selection activeCell="A13" sqref="A13"/>
    </sheetView>
  </sheetViews>
  <sheetFormatPr defaultRowHeight="14.4" x14ac:dyDescent="0.3"/>
  <cols>
    <col min="2" max="2" width="34.21875" customWidth="1"/>
    <col min="3" max="3" width="48.21875" customWidth="1"/>
    <col min="4" max="4" width="27.77734375" customWidth="1"/>
    <col min="5" max="5" width="17.77734375" customWidth="1"/>
    <col min="6" max="6" width="43.44140625" customWidth="1"/>
  </cols>
  <sheetData>
    <row r="1" spans="1:6" x14ac:dyDescent="0.3">
      <c r="A1" s="20" t="s">
        <v>211</v>
      </c>
      <c r="B1" s="20" t="s">
        <v>212</v>
      </c>
      <c r="C1" s="21" t="s">
        <v>213</v>
      </c>
      <c r="D1" s="22" t="s">
        <v>214</v>
      </c>
    </row>
    <row r="2" spans="1:6" x14ac:dyDescent="0.3">
      <c r="A2" s="16" t="s">
        <v>215</v>
      </c>
      <c r="B2" s="16" t="s">
        <v>216</v>
      </c>
      <c r="C2" t="s">
        <v>217</v>
      </c>
      <c r="D2" t="s">
        <v>39</v>
      </c>
      <c r="F2" t="s">
        <v>218</v>
      </c>
    </row>
    <row r="3" spans="1:6" x14ac:dyDescent="0.3">
      <c r="A3" s="17"/>
      <c r="B3" s="17"/>
      <c r="C3" t="s">
        <v>219</v>
      </c>
      <c r="D3" t="s">
        <v>39</v>
      </c>
      <c r="F3" t="s">
        <v>220</v>
      </c>
    </row>
    <row r="4" spans="1:6" x14ac:dyDescent="0.3">
      <c r="A4" s="17"/>
      <c r="B4" s="17"/>
      <c r="C4" t="s">
        <v>221</v>
      </c>
      <c r="D4" t="s">
        <v>39</v>
      </c>
      <c r="F4" t="s">
        <v>222</v>
      </c>
    </row>
    <row r="5" spans="1:6" x14ac:dyDescent="0.3">
      <c r="A5" s="17"/>
      <c r="B5" s="17"/>
      <c r="C5" t="s">
        <v>223</v>
      </c>
      <c r="D5" t="s">
        <v>39</v>
      </c>
      <c r="F5" t="s">
        <v>224</v>
      </c>
    </row>
    <row r="6" spans="1:6" x14ac:dyDescent="0.3">
      <c r="A6" s="17"/>
      <c r="B6" s="16" t="s">
        <v>225</v>
      </c>
      <c r="C6" t="s">
        <v>226</v>
      </c>
      <c r="D6" t="s">
        <v>39</v>
      </c>
      <c r="F6" t="s">
        <v>227</v>
      </c>
    </row>
    <row r="7" spans="1:6" x14ac:dyDescent="0.3">
      <c r="A7" s="17"/>
      <c r="B7" s="16"/>
      <c r="C7" t="s">
        <v>228</v>
      </c>
      <c r="D7" t="s">
        <v>39</v>
      </c>
      <c r="F7" t="s">
        <v>229</v>
      </c>
    </row>
    <row r="8" spans="1:6" x14ac:dyDescent="0.3">
      <c r="A8" s="17"/>
      <c r="B8" s="17"/>
      <c r="C8" t="s">
        <v>230</v>
      </c>
      <c r="D8" t="s">
        <v>39</v>
      </c>
      <c r="F8" t="s">
        <v>231</v>
      </c>
    </row>
    <row r="9" spans="1:6" x14ac:dyDescent="0.3">
      <c r="A9" s="17"/>
      <c r="B9" s="16" t="s">
        <v>232</v>
      </c>
      <c r="C9" t="s">
        <v>233</v>
      </c>
      <c r="D9" t="s">
        <v>160</v>
      </c>
      <c r="F9" t="s">
        <v>234</v>
      </c>
    </row>
    <row r="10" spans="1:6" x14ac:dyDescent="0.3">
      <c r="A10" s="17"/>
      <c r="B10" s="17"/>
      <c r="C10" t="s">
        <v>235</v>
      </c>
      <c r="D10" t="s">
        <v>160</v>
      </c>
      <c r="F10" t="s">
        <v>236</v>
      </c>
    </row>
    <row r="11" spans="1:6" x14ac:dyDescent="0.3">
      <c r="A11" s="17"/>
      <c r="B11" s="17"/>
      <c r="C11" t="s">
        <v>237</v>
      </c>
      <c r="D11" t="s">
        <v>160</v>
      </c>
      <c r="F11" t="s">
        <v>238</v>
      </c>
    </row>
    <row r="12" spans="1:6" x14ac:dyDescent="0.3">
      <c r="A12" s="17"/>
      <c r="B12" s="17"/>
      <c r="C12" t="s">
        <v>239</v>
      </c>
      <c r="D12" t="s">
        <v>160</v>
      </c>
      <c r="F12" t="s">
        <v>240</v>
      </c>
    </row>
    <row r="13" spans="1:6" x14ac:dyDescent="0.3">
      <c r="A13" s="17"/>
      <c r="B13" s="16" t="s">
        <v>241</v>
      </c>
      <c r="C13" t="s">
        <v>242</v>
      </c>
      <c r="D13" t="s">
        <v>39</v>
      </c>
      <c r="F13" t="s">
        <v>243</v>
      </c>
    </row>
    <row r="14" spans="1:6" x14ac:dyDescent="0.3">
      <c r="A14" s="17"/>
      <c r="B14" s="17"/>
      <c r="C14" t="s">
        <v>244</v>
      </c>
      <c r="D14" t="s">
        <v>39</v>
      </c>
      <c r="F14" t="s">
        <v>245</v>
      </c>
    </row>
    <row r="15" spans="1:6" x14ac:dyDescent="0.3">
      <c r="A15" s="17"/>
      <c r="B15" s="17"/>
      <c r="C15" t="s">
        <v>246</v>
      </c>
      <c r="D15" t="s">
        <v>39</v>
      </c>
      <c r="F15" t="s">
        <v>247</v>
      </c>
    </row>
    <row r="16" spans="1:6" x14ac:dyDescent="0.3">
      <c r="A16" s="17"/>
      <c r="B16" s="17"/>
      <c r="C16" t="s">
        <v>223</v>
      </c>
      <c r="D16" t="s">
        <v>39</v>
      </c>
      <c r="F16" t="s">
        <v>224</v>
      </c>
    </row>
    <row r="17" spans="1:6" x14ac:dyDescent="0.3">
      <c r="A17" s="17"/>
      <c r="B17" s="16" t="s">
        <v>248</v>
      </c>
      <c r="C17" t="s">
        <v>249</v>
      </c>
      <c r="D17" t="s">
        <v>250</v>
      </c>
      <c r="F17" t="s">
        <v>251</v>
      </c>
    </row>
    <row r="18" spans="1:6" x14ac:dyDescent="0.3">
      <c r="A18" s="18" t="s">
        <v>215</v>
      </c>
      <c r="B18" s="18" t="s">
        <v>252</v>
      </c>
      <c r="C18" s="19" t="s">
        <v>253</v>
      </c>
      <c r="D18" s="19" t="s">
        <v>39</v>
      </c>
      <c r="E18" t="s">
        <v>254</v>
      </c>
      <c r="F18" t="s">
        <v>255</v>
      </c>
    </row>
    <row r="19" spans="1:6" x14ac:dyDescent="0.3">
      <c r="A19" s="18"/>
      <c r="B19" s="18"/>
      <c r="C19" s="19" t="s">
        <v>256</v>
      </c>
      <c r="D19" s="19" t="s">
        <v>39</v>
      </c>
      <c r="E19" t="s">
        <v>254</v>
      </c>
      <c r="F19" t="s">
        <v>257</v>
      </c>
    </row>
    <row r="20" spans="1:6" x14ac:dyDescent="0.3">
      <c r="A20" s="18"/>
      <c r="B20" s="18"/>
      <c r="C20" s="19" t="s">
        <v>258</v>
      </c>
      <c r="D20" s="19" t="s">
        <v>39</v>
      </c>
      <c r="E20" t="s">
        <v>254</v>
      </c>
      <c r="F20" t="s">
        <v>259</v>
      </c>
    </row>
    <row r="21" spans="1:6" x14ac:dyDescent="0.3">
      <c r="A21" s="18"/>
      <c r="B21" s="18"/>
      <c r="C21" s="19" t="s">
        <v>260</v>
      </c>
      <c r="D21" s="19" t="s">
        <v>39</v>
      </c>
      <c r="E21" t="s">
        <v>254</v>
      </c>
      <c r="F21" t="s">
        <v>261</v>
      </c>
    </row>
    <row r="22" spans="1:6" x14ac:dyDescent="0.3">
      <c r="A22" s="18"/>
      <c r="B22" s="18"/>
      <c r="C22" s="19" t="s">
        <v>262</v>
      </c>
      <c r="D22" s="19" t="s">
        <v>160</v>
      </c>
      <c r="E22" t="s">
        <v>254</v>
      </c>
      <c r="F22" t="s">
        <v>263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B320-EC4C-44DC-B7C0-990E619B7FB1}">
  <sheetPr>
    <tabColor rgb="FF0070C0"/>
  </sheetPr>
  <dimension ref="A1:AO23"/>
  <sheetViews>
    <sheetView tabSelected="1" zoomScale="70" zoomScaleNormal="70" workbookViewId="0">
      <selection activeCell="D7" sqref="D7"/>
    </sheetView>
  </sheetViews>
  <sheetFormatPr defaultRowHeight="14.4" x14ac:dyDescent="0.3"/>
  <cols>
    <col min="1" max="1" width="10.77734375" customWidth="1"/>
    <col min="2" max="2" width="28.77734375" customWidth="1"/>
    <col min="3" max="3" width="15.109375" style="14" customWidth="1"/>
    <col min="4" max="4" width="12.44140625" style="14" customWidth="1"/>
    <col min="5" max="5" width="18.77734375" customWidth="1"/>
    <col min="6" max="6" width="57" style="1" customWidth="1"/>
    <col min="7" max="7" width="34.21875" customWidth="1"/>
    <col min="8" max="8" width="9.77734375" customWidth="1"/>
    <col min="9" max="9" width="15" customWidth="1"/>
    <col min="10" max="10" width="24.21875" customWidth="1"/>
    <col min="11" max="11" width="19.77734375" customWidth="1"/>
    <col min="12" max="12" width="5.21875" customWidth="1"/>
    <col min="13" max="13" width="14.21875" customWidth="1"/>
    <col min="14" max="15" width="14.77734375" customWidth="1"/>
    <col min="16" max="16" width="14.5546875" customWidth="1"/>
    <col min="17" max="17" width="19.21875" customWidth="1"/>
    <col min="18" max="18" width="23.21875" customWidth="1"/>
  </cols>
  <sheetData>
    <row r="1" spans="1:41" s="37" customFormat="1" thickBot="1" x14ac:dyDescent="0.35">
      <c r="A1" s="46" t="s">
        <v>264</v>
      </c>
      <c r="B1" s="47" t="s">
        <v>265</v>
      </c>
      <c r="C1" s="47" t="s">
        <v>579</v>
      </c>
      <c r="D1" s="47" t="s">
        <v>580</v>
      </c>
      <c r="E1" s="47" t="s">
        <v>266</v>
      </c>
      <c r="F1" s="48" t="s">
        <v>267</v>
      </c>
      <c r="G1" s="47" t="s">
        <v>268</v>
      </c>
      <c r="H1" s="47" t="s">
        <v>269</v>
      </c>
      <c r="I1" s="47" t="s">
        <v>270</v>
      </c>
      <c r="J1" s="47" t="s">
        <v>271</v>
      </c>
      <c r="K1" s="48" t="s">
        <v>272</v>
      </c>
      <c r="L1" s="47" t="s">
        <v>273</v>
      </c>
      <c r="M1" s="47" t="s">
        <v>274</v>
      </c>
      <c r="N1" s="47" t="s">
        <v>275</v>
      </c>
      <c r="O1" s="47" t="s">
        <v>276</v>
      </c>
      <c r="P1" s="47" t="s">
        <v>277</v>
      </c>
      <c r="Q1" s="47" t="s">
        <v>278</v>
      </c>
      <c r="R1" s="87" t="s">
        <v>279</v>
      </c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</row>
    <row r="2" spans="1:41" s="37" customFormat="1" thickBot="1" x14ac:dyDescent="0.35">
      <c r="A2" s="103" t="s">
        <v>366</v>
      </c>
      <c r="B2" s="104" t="s">
        <v>367</v>
      </c>
      <c r="C2" s="106">
        <v>1</v>
      </c>
      <c r="D2" s="106" t="s">
        <v>143</v>
      </c>
      <c r="E2" s="104" t="s">
        <v>291</v>
      </c>
      <c r="F2" s="105" t="s">
        <v>368</v>
      </c>
      <c r="G2" s="105" t="s">
        <v>369</v>
      </c>
      <c r="H2" s="105" t="s">
        <v>283</v>
      </c>
      <c r="I2" s="105" t="s">
        <v>289</v>
      </c>
      <c r="J2" s="105"/>
      <c r="K2" s="105"/>
      <c r="L2" s="106" t="s">
        <v>301</v>
      </c>
      <c r="M2" s="107" t="s">
        <v>370</v>
      </c>
      <c r="N2" s="107" t="s">
        <v>370</v>
      </c>
      <c r="O2" s="107" t="s">
        <v>370</v>
      </c>
      <c r="P2" s="107" t="s">
        <v>286</v>
      </c>
      <c r="Q2" s="108"/>
      <c r="R2" s="95" t="s">
        <v>287</v>
      </c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</row>
    <row r="3" spans="1:41" s="37" customFormat="1" ht="19.8" customHeight="1" x14ac:dyDescent="0.3">
      <c r="A3" s="81" t="s">
        <v>366</v>
      </c>
      <c r="B3" s="82" t="s">
        <v>367</v>
      </c>
      <c r="C3" s="153">
        <v>1</v>
      </c>
      <c r="D3" s="106" t="s">
        <v>143</v>
      </c>
      <c r="E3" s="82" t="s">
        <v>291</v>
      </c>
      <c r="F3" s="83" t="s">
        <v>566</v>
      </c>
      <c r="G3" s="105" t="s">
        <v>369</v>
      </c>
      <c r="H3" s="105" t="s">
        <v>565</v>
      </c>
      <c r="I3" s="105" t="s">
        <v>289</v>
      </c>
      <c r="J3" s="105"/>
      <c r="K3" s="105"/>
      <c r="L3" s="106" t="s">
        <v>301</v>
      </c>
      <c r="M3" s="107" t="s">
        <v>370</v>
      </c>
      <c r="N3" s="107" t="s">
        <v>370</v>
      </c>
      <c r="O3" s="107" t="s">
        <v>370</v>
      </c>
      <c r="P3" s="107" t="s">
        <v>310</v>
      </c>
      <c r="Q3" s="109"/>
      <c r="R3" s="162" t="s">
        <v>317</v>
      </c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</row>
    <row r="4" spans="1:41" s="37" customFormat="1" ht="27.6" x14ac:dyDescent="0.3">
      <c r="A4" s="98" t="s">
        <v>550</v>
      </c>
      <c r="B4" s="99" t="s">
        <v>567</v>
      </c>
      <c r="C4" s="132">
        <v>1</v>
      </c>
      <c r="D4" s="132" t="s">
        <v>137</v>
      </c>
      <c r="E4" s="99" t="s">
        <v>282</v>
      </c>
      <c r="F4" s="100" t="s">
        <v>568</v>
      </c>
      <c r="G4" s="101" t="s">
        <v>572</v>
      </c>
      <c r="H4" s="101" t="s">
        <v>565</v>
      </c>
      <c r="I4" s="101" t="s">
        <v>282</v>
      </c>
      <c r="J4" s="101" t="s">
        <v>569</v>
      </c>
      <c r="K4" s="101" t="s">
        <v>570</v>
      </c>
      <c r="L4" s="74" t="s">
        <v>284</v>
      </c>
      <c r="M4" s="152" t="s">
        <v>571</v>
      </c>
      <c r="N4" s="102" t="s">
        <v>571</v>
      </c>
      <c r="O4" s="102" t="s">
        <v>573</v>
      </c>
      <c r="P4" s="102" t="s">
        <v>310</v>
      </c>
      <c r="Q4" s="110" t="s">
        <v>574</v>
      </c>
      <c r="R4" s="163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</row>
    <row r="5" spans="1:41" s="37" customFormat="1" ht="27.6" x14ac:dyDescent="0.3">
      <c r="A5" s="111" t="s">
        <v>371</v>
      </c>
      <c r="B5" s="72" t="s">
        <v>372</v>
      </c>
      <c r="C5" s="71"/>
      <c r="D5" s="71" t="s">
        <v>137</v>
      </c>
      <c r="E5" s="72" t="s">
        <v>282</v>
      </c>
      <c r="F5" s="73" t="s">
        <v>373</v>
      </c>
      <c r="G5" s="72" t="s">
        <v>374</v>
      </c>
      <c r="H5" s="72" t="s">
        <v>306</v>
      </c>
      <c r="I5" s="72" t="s">
        <v>282</v>
      </c>
      <c r="J5" s="72"/>
      <c r="K5" s="73" t="s">
        <v>375</v>
      </c>
      <c r="L5" s="71" t="s">
        <v>284</v>
      </c>
      <c r="M5" s="71"/>
      <c r="N5" s="71"/>
      <c r="O5" s="71"/>
      <c r="P5" s="71" t="s">
        <v>310</v>
      </c>
      <c r="Q5" s="112"/>
      <c r="R5" s="163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</row>
    <row r="6" spans="1:41" s="37" customFormat="1" thickBot="1" x14ac:dyDescent="0.35">
      <c r="A6" s="98" t="s">
        <v>371</v>
      </c>
      <c r="B6" s="99" t="s">
        <v>377</v>
      </c>
      <c r="C6" s="132"/>
      <c r="D6" s="132" t="s">
        <v>137</v>
      </c>
      <c r="E6" s="99" t="s">
        <v>282</v>
      </c>
      <c r="F6" s="99" t="s">
        <v>378</v>
      </c>
      <c r="G6" s="99" t="s">
        <v>379</v>
      </c>
      <c r="H6" s="99" t="s">
        <v>306</v>
      </c>
      <c r="I6" s="99" t="s">
        <v>282</v>
      </c>
      <c r="J6" s="99" t="s">
        <v>308</v>
      </c>
      <c r="K6" s="99" t="s">
        <v>564</v>
      </c>
      <c r="L6" s="132" t="s">
        <v>284</v>
      </c>
      <c r="M6" s="132"/>
      <c r="N6" s="132"/>
      <c r="O6" s="132"/>
      <c r="P6" s="132" t="s">
        <v>310</v>
      </c>
      <c r="Q6" s="133"/>
      <c r="R6" s="164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</row>
    <row r="7" spans="1:41" x14ac:dyDescent="0.3">
      <c r="A7" s="117" t="s">
        <v>280</v>
      </c>
      <c r="B7" s="118" t="s">
        <v>281</v>
      </c>
      <c r="C7" s="120"/>
      <c r="D7" s="120"/>
      <c r="E7" s="118" t="s">
        <v>282</v>
      </c>
      <c r="F7" s="119"/>
      <c r="G7" s="118"/>
      <c r="H7" s="118" t="s">
        <v>283</v>
      </c>
      <c r="I7" s="118" t="s">
        <v>282</v>
      </c>
      <c r="J7" s="119"/>
      <c r="K7" s="118"/>
      <c r="L7" s="120" t="s">
        <v>284</v>
      </c>
      <c r="M7" s="120" t="s">
        <v>285</v>
      </c>
      <c r="N7" s="120"/>
      <c r="O7" s="120"/>
      <c r="P7" s="120" t="s">
        <v>286</v>
      </c>
      <c r="Q7" s="136"/>
      <c r="R7" s="130" t="s">
        <v>339</v>
      </c>
    </row>
    <row r="8" spans="1:41" x14ac:dyDescent="0.3">
      <c r="A8" s="111" t="s">
        <v>280</v>
      </c>
      <c r="B8" s="72" t="s">
        <v>288</v>
      </c>
      <c r="C8" s="71"/>
      <c r="D8" s="71"/>
      <c r="E8" s="72" t="s">
        <v>282</v>
      </c>
      <c r="F8" s="73"/>
      <c r="G8" s="72"/>
      <c r="H8" s="72" t="s">
        <v>283</v>
      </c>
      <c r="I8" s="72" t="s">
        <v>289</v>
      </c>
      <c r="J8" s="73"/>
      <c r="K8" s="72"/>
      <c r="L8" s="71" t="s">
        <v>284</v>
      </c>
      <c r="M8" s="71" t="s">
        <v>285</v>
      </c>
      <c r="N8" s="71"/>
      <c r="O8" s="71"/>
      <c r="P8" s="71" t="s">
        <v>286</v>
      </c>
      <c r="Q8" s="112"/>
      <c r="R8" s="131"/>
    </row>
    <row r="9" spans="1:41" ht="41.4" x14ac:dyDescent="0.3">
      <c r="A9" s="111" t="s">
        <v>280</v>
      </c>
      <c r="B9" s="72" t="s">
        <v>290</v>
      </c>
      <c r="C9" s="71">
        <v>1</v>
      </c>
      <c r="D9" s="71"/>
      <c r="E9" s="72" t="s">
        <v>291</v>
      </c>
      <c r="F9" s="73" t="s">
        <v>292</v>
      </c>
      <c r="G9" s="73" t="s">
        <v>293</v>
      </c>
      <c r="H9" s="72" t="s">
        <v>283</v>
      </c>
      <c r="I9" s="72" t="s">
        <v>289</v>
      </c>
      <c r="J9" s="73" t="s">
        <v>294</v>
      </c>
      <c r="K9" s="73" t="s">
        <v>295</v>
      </c>
      <c r="L9" s="71" t="s">
        <v>284</v>
      </c>
      <c r="M9" s="71" t="s">
        <v>285</v>
      </c>
      <c r="N9" s="71"/>
      <c r="O9" s="71"/>
      <c r="P9" s="71"/>
      <c r="Q9" s="137" t="s">
        <v>296</v>
      </c>
      <c r="R9" s="131"/>
      <c r="S9" s="35"/>
      <c r="T9" s="35"/>
      <c r="U9" s="35"/>
      <c r="V9" s="35"/>
    </row>
    <row r="10" spans="1:41" ht="28.2" thickBot="1" x14ac:dyDescent="0.35">
      <c r="A10" s="138" t="s">
        <v>280</v>
      </c>
      <c r="B10" s="139" t="s">
        <v>297</v>
      </c>
      <c r="C10" s="97">
        <v>1</v>
      </c>
      <c r="D10" s="97"/>
      <c r="E10" s="139" t="s">
        <v>282</v>
      </c>
      <c r="F10" s="96" t="s">
        <v>298</v>
      </c>
      <c r="G10" s="139" t="s">
        <v>299</v>
      </c>
      <c r="H10" s="139" t="s">
        <v>283</v>
      </c>
      <c r="I10" s="139" t="s">
        <v>282</v>
      </c>
      <c r="J10" s="96"/>
      <c r="K10" s="139" t="s">
        <v>300</v>
      </c>
      <c r="L10" s="97" t="s">
        <v>301</v>
      </c>
      <c r="M10" s="97" t="s">
        <v>285</v>
      </c>
      <c r="N10" s="97"/>
      <c r="O10" s="97"/>
      <c r="P10" s="97" t="s">
        <v>286</v>
      </c>
      <c r="Q10" s="140"/>
      <c r="R10" s="131"/>
      <c r="S10" s="35"/>
      <c r="T10" s="35"/>
      <c r="U10" s="35"/>
      <c r="V10" s="35"/>
    </row>
    <row r="11" spans="1:41" ht="27.6" x14ac:dyDescent="0.3">
      <c r="A11" s="134" t="s">
        <v>280</v>
      </c>
      <c r="B11" s="86" t="s">
        <v>302</v>
      </c>
      <c r="C11" s="84"/>
      <c r="D11" s="84"/>
      <c r="E11" s="86" t="s">
        <v>303</v>
      </c>
      <c r="F11" s="88" t="s">
        <v>304</v>
      </c>
      <c r="G11" s="86" t="s">
        <v>305</v>
      </c>
      <c r="H11" s="86" t="s">
        <v>306</v>
      </c>
      <c r="I11" s="86" t="s">
        <v>307</v>
      </c>
      <c r="J11" s="88" t="s">
        <v>308</v>
      </c>
      <c r="K11" s="86" t="s">
        <v>309</v>
      </c>
      <c r="L11" s="84" t="s">
        <v>284</v>
      </c>
      <c r="M11" s="84">
        <v>27</v>
      </c>
      <c r="N11" s="84">
        <v>30</v>
      </c>
      <c r="O11" s="84">
        <v>32</v>
      </c>
      <c r="P11" s="84" t="s">
        <v>310</v>
      </c>
      <c r="Q11" s="135"/>
      <c r="R11" s="165" t="s">
        <v>359</v>
      </c>
      <c r="S11" s="35"/>
      <c r="T11" s="35"/>
      <c r="U11" s="35"/>
      <c r="V11" s="35"/>
    </row>
    <row r="12" spans="1:41" x14ac:dyDescent="0.3">
      <c r="A12" s="111" t="s">
        <v>311</v>
      </c>
      <c r="B12" s="72" t="s">
        <v>312</v>
      </c>
      <c r="C12" s="71"/>
      <c r="D12" s="71"/>
      <c r="E12" s="72" t="s">
        <v>303</v>
      </c>
      <c r="F12" s="73" t="s">
        <v>313</v>
      </c>
      <c r="G12" s="72" t="s">
        <v>314</v>
      </c>
      <c r="H12" s="72"/>
      <c r="I12" s="72"/>
      <c r="J12" s="73" t="s">
        <v>315</v>
      </c>
      <c r="K12" s="72" t="s">
        <v>316</v>
      </c>
      <c r="L12" s="71" t="s">
        <v>284</v>
      </c>
      <c r="M12" s="71">
        <v>30</v>
      </c>
      <c r="N12" s="71">
        <v>33</v>
      </c>
      <c r="O12" s="71">
        <v>40</v>
      </c>
      <c r="P12" s="71"/>
      <c r="Q12" s="127"/>
      <c r="R12" s="166"/>
      <c r="S12" s="35"/>
      <c r="T12" s="35"/>
      <c r="U12" s="35"/>
      <c r="V12" s="35"/>
    </row>
    <row r="13" spans="1:41" ht="27.6" x14ac:dyDescent="0.3">
      <c r="A13" s="111" t="s">
        <v>318</v>
      </c>
      <c r="B13" s="72" t="s">
        <v>319</v>
      </c>
      <c r="C13" s="71"/>
      <c r="D13" s="71"/>
      <c r="E13" s="72" t="s">
        <v>303</v>
      </c>
      <c r="F13" s="73" t="s">
        <v>320</v>
      </c>
      <c r="G13" s="72" t="s">
        <v>321</v>
      </c>
      <c r="H13" s="72" t="s">
        <v>322</v>
      </c>
      <c r="I13" s="72" t="s">
        <v>323</v>
      </c>
      <c r="J13" s="73" t="s">
        <v>324</v>
      </c>
      <c r="K13" s="72" t="s">
        <v>325</v>
      </c>
      <c r="L13" s="71" t="s">
        <v>284</v>
      </c>
      <c r="M13" s="71"/>
      <c r="N13" s="71"/>
      <c r="O13" s="71"/>
      <c r="P13" s="71" t="s">
        <v>310</v>
      </c>
      <c r="Q13" s="127"/>
      <c r="R13" s="166"/>
      <c r="S13" s="35"/>
      <c r="T13" s="35"/>
      <c r="U13" s="35"/>
      <c r="V13" s="35"/>
    </row>
    <row r="14" spans="1:41" x14ac:dyDescent="0.3">
      <c r="A14" s="111" t="s">
        <v>280</v>
      </c>
      <c r="B14" s="72" t="s">
        <v>326</v>
      </c>
      <c r="C14" s="71"/>
      <c r="D14" s="71"/>
      <c r="E14" s="72" t="s">
        <v>303</v>
      </c>
      <c r="F14" s="73" t="s">
        <v>327</v>
      </c>
      <c r="G14" s="72"/>
      <c r="H14" s="72" t="s">
        <v>283</v>
      </c>
      <c r="I14" s="72" t="s">
        <v>328</v>
      </c>
      <c r="J14" s="73"/>
      <c r="K14" s="72"/>
      <c r="L14" s="71" t="s">
        <v>284</v>
      </c>
      <c r="M14" s="71" t="s">
        <v>329</v>
      </c>
      <c r="N14" s="71" t="s">
        <v>330</v>
      </c>
      <c r="O14" s="71" t="s">
        <v>331</v>
      </c>
      <c r="P14" s="71" t="s">
        <v>286</v>
      </c>
      <c r="Q14" s="127"/>
      <c r="R14" s="166"/>
      <c r="S14" s="35"/>
      <c r="T14" s="35"/>
      <c r="U14" s="35"/>
      <c r="V14" s="35"/>
    </row>
    <row r="15" spans="1:41" s="70" customFormat="1" ht="41.4" x14ac:dyDescent="0.3">
      <c r="A15" s="121" t="s">
        <v>280</v>
      </c>
      <c r="B15" s="76" t="s">
        <v>549</v>
      </c>
      <c r="C15" s="79"/>
      <c r="D15" s="79"/>
      <c r="E15" s="76" t="s">
        <v>303</v>
      </c>
      <c r="F15" s="77" t="s">
        <v>563</v>
      </c>
      <c r="G15" s="77" t="s">
        <v>562</v>
      </c>
      <c r="H15" s="76" t="s">
        <v>322</v>
      </c>
      <c r="I15" s="76" t="s">
        <v>328</v>
      </c>
      <c r="J15" s="77" t="s">
        <v>559</v>
      </c>
      <c r="K15" s="76" t="s">
        <v>560</v>
      </c>
      <c r="L15" s="75" t="s">
        <v>353</v>
      </c>
      <c r="M15" s="116">
        <v>0.25</v>
      </c>
      <c r="N15" s="116">
        <v>0.3</v>
      </c>
      <c r="O15" s="116">
        <v>0.32</v>
      </c>
      <c r="P15" s="79" t="s">
        <v>286</v>
      </c>
      <c r="Q15" s="128" t="s">
        <v>561</v>
      </c>
      <c r="R15" s="166"/>
      <c r="S15" s="69"/>
      <c r="T15" s="69"/>
      <c r="U15" s="69"/>
      <c r="V15" s="69"/>
    </row>
    <row r="16" spans="1:41" ht="42" thickBot="1" x14ac:dyDescent="0.35">
      <c r="A16" s="122" t="s">
        <v>280</v>
      </c>
      <c r="B16" s="123" t="s">
        <v>548</v>
      </c>
      <c r="C16" s="126"/>
      <c r="D16" s="126"/>
      <c r="E16" s="123" t="s">
        <v>303</v>
      </c>
      <c r="F16" s="124" t="s">
        <v>551</v>
      </c>
      <c r="G16" s="123" t="s">
        <v>554</v>
      </c>
      <c r="H16" s="123" t="s">
        <v>306</v>
      </c>
      <c r="I16" s="123" t="s">
        <v>328</v>
      </c>
      <c r="J16" s="124" t="s">
        <v>552</v>
      </c>
      <c r="K16" s="123" t="s">
        <v>553</v>
      </c>
      <c r="L16" s="78" t="s">
        <v>353</v>
      </c>
      <c r="M16" s="125" t="s">
        <v>555</v>
      </c>
      <c r="N16" s="125" t="s">
        <v>556</v>
      </c>
      <c r="O16" s="125" t="s">
        <v>557</v>
      </c>
      <c r="P16" s="126" t="s">
        <v>310</v>
      </c>
      <c r="Q16" s="129" t="s">
        <v>558</v>
      </c>
      <c r="R16" s="167"/>
    </row>
    <row r="17" spans="1:41" ht="42" thickBot="1" x14ac:dyDescent="0.35">
      <c r="A17" s="62" t="s">
        <v>280</v>
      </c>
      <c r="B17" s="66" t="s">
        <v>332</v>
      </c>
      <c r="C17" s="154">
        <v>1</v>
      </c>
      <c r="D17" s="160" t="s">
        <v>143</v>
      </c>
      <c r="E17" s="64" t="s">
        <v>291</v>
      </c>
      <c r="F17" s="60" t="s">
        <v>333</v>
      </c>
      <c r="G17" s="60" t="s">
        <v>334</v>
      </c>
      <c r="H17" s="60" t="s">
        <v>335</v>
      </c>
      <c r="I17" s="60" t="s">
        <v>289</v>
      </c>
      <c r="J17" s="60" t="s">
        <v>336</v>
      </c>
      <c r="K17" s="60" t="s">
        <v>337</v>
      </c>
      <c r="L17" s="61" t="s">
        <v>284</v>
      </c>
      <c r="M17" s="113">
        <v>0.25</v>
      </c>
      <c r="N17" s="113">
        <v>0.3</v>
      </c>
      <c r="O17" s="113">
        <v>0.32</v>
      </c>
      <c r="P17" s="114" t="s">
        <v>286</v>
      </c>
      <c r="Q17" s="115" t="s">
        <v>338</v>
      </c>
      <c r="R17" s="161" t="s">
        <v>365</v>
      </c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</row>
    <row r="18" spans="1:41" ht="42" thickBot="1" x14ac:dyDescent="0.35">
      <c r="A18" s="63" t="s">
        <v>280</v>
      </c>
      <c r="B18" s="67" t="s">
        <v>340</v>
      </c>
      <c r="C18" s="155">
        <v>1</v>
      </c>
      <c r="D18" s="160" t="s">
        <v>143</v>
      </c>
      <c r="E18" s="65" t="s">
        <v>291</v>
      </c>
      <c r="F18" s="49" t="s">
        <v>341</v>
      </c>
      <c r="G18" s="49" t="s">
        <v>342</v>
      </c>
      <c r="H18" s="49" t="s">
        <v>335</v>
      </c>
      <c r="I18" s="49" t="s">
        <v>289</v>
      </c>
      <c r="J18" s="49" t="s">
        <v>343</v>
      </c>
      <c r="K18" s="49" t="s">
        <v>344</v>
      </c>
      <c r="L18" s="50" t="s">
        <v>284</v>
      </c>
      <c r="M18" s="57">
        <v>0</v>
      </c>
      <c r="N18" s="57">
        <v>0.05</v>
      </c>
      <c r="O18" s="57">
        <v>0.1</v>
      </c>
      <c r="P18" s="58" t="s">
        <v>286</v>
      </c>
      <c r="Q18" s="59" t="s">
        <v>345</v>
      </c>
      <c r="R18" s="161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</row>
    <row r="19" spans="1:41" ht="28.2" thickBot="1" x14ac:dyDescent="0.35">
      <c r="A19" s="89" t="s">
        <v>280</v>
      </c>
      <c r="B19" s="90" t="s">
        <v>346</v>
      </c>
      <c r="C19" s="156"/>
      <c r="D19" s="156"/>
      <c r="E19" s="91" t="s">
        <v>347</v>
      </c>
      <c r="F19" s="92" t="s">
        <v>348</v>
      </c>
      <c r="G19" s="92" t="s">
        <v>349</v>
      </c>
      <c r="H19" s="92" t="s">
        <v>322</v>
      </c>
      <c r="I19" s="92" t="s">
        <v>350</v>
      </c>
      <c r="J19" s="92" t="s">
        <v>351</v>
      </c>
      <c r="K19" s="92" t="s">
        <v>352</v>
      </c>
      <c r="L19" s="80" t="s">
        <v>353</v>
      </c>
      <c r="M19" s="80" t="s">
        <v>354</v>
      </c>
      <c r="N19" s="80" t="s">
        <v>355</v>
      </c>
      <c r="O19" s="80" t="s">
        <v>356</v>
      </c>
      <c r="P19" s="80" t="s">
        <v>357</v>
      </c>
      <c r="Q19" s="93" t="s">
        <v>358</v>
      </c>
      <c r="R19" s="51" t="s">
        <v>376</v>
      </c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</row>
    <row r="20" spans="1:41" ht="42" thickBot="1" x14ac:dyDescent="0.35">
      <c r="A20" s="141" t="s">
        <v>311</v>
      </c>
      <c r="B20" s="142" t="s">
        <v>152</v>
      </c>
      <c r="C20" s="157"/>
      <c r="D20" s="157"/>
      <c r="E20" s="142" t="s">
        <v>360</v>
      </c>
      <c r="F20" s="143" t="s">
        <v>361</v>
      </c>
      <c r="G20" s="144" t="s">
        <v>362</v>
      </c>
      <c r="H20" s="145" t="s">
        <v>283</v>
      </c>
      <c r="I20" s="145"/>
      <c r="J20" s="145" t="s">
        <v>363</v>
      </c>
      <c r="K20" s="145" t="s">
        <v>364</v>
      </c>
      <c r="L20" s="146" t="s">
        <v>353</v>
      </c>
      <c r="M20" s="146">
        <v>15</v>
      </c>
      <c r="N20" s="146">
        <v>10</v>
      </c>
      <c r="O20" s="146">
        <v>5</v>
      </c>
      <c r="P20" s="146" t="s">
        <v>286</v>
      </c>
      <c r="Q20" s="146"/>
      <c r="R20" s="147" t="s">
        <v>380</v>
      </c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</row>
    <row r="21" spans="1:41" s="68" customFormat="1" thickBot="1" x14ac:dyDescent="0.35">
      <c r="A21" s="148" t="s">
        <v>280</v>
      </c>
      <c r="B21" s="149" t="s">
        <v>575</v>
      </c>
      <c r="C21" s="158"/>
      <c r="D21" s="158"/>
      <c r="E21" s="149" t="s">
        <v>576</v>
      </c>
      <c r="F21" s="149" t="s">
        <v>577</v>
      </c>
      <c r="G21" s="149"/>
      <c r="H21" s="149" t="s">
        <v>283</v>
      </c>
      <c r="I21" s="149" t="s">
        <v>350</v>
      </c>
      <c r="J21" s="149"/>
      <c r="K21" s="149"/>
      <c r="L21" s="94" t="s">
        <v>353</v>
      </c>
      <c r="M21" s="149"/>
      <c r="N21" s="149"/>
      <c r="O21" s="149"/>
      <c r="P21" s="94" t="s">
        <v>286</v>
      </c>
      <c r="Q21" s="150"/>
      <c r="R21" s="151" t="s">
        <v>578</v>
      </c>
    </row>
    <row r="22" spans="1:41" s="68" customFormat="1" ht="13.8" x14ac:dyDescent="0.3">
      <c r="C22" s="159"/>
      <c r="D22" s="159"/>
    </row>
    <row r="23" spans="1:41" hidden="1" x14ac:dyDescent="0.3">
      <c r="A23" s="86"/>
      <c r="B23" s="86"/>
      <c r="C23" s="84"/>
      <c r="D23" s="84"/>
      <c r="E23" s="86"/>
      <c r="F23" s="88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5"/>
    </row>
  </sheetData>
  <mergeCells count="3">
    <mergeCell ref="R17:R18"/>
    <mergeCell ref="R3:R6"/>
    <mergeCell ref="R11:R16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3EF08-FF07-4C5D-8884-F0FF744EEB57}">
  <sheetPr>
    <tabColor rgb="FF0070C0"/>
  </sheetPr>
  <dimension ref="A1:B66"/>
  <sheetViews>
    <sheetView workbookViewId="0">
      <selection activeCell="A18" sqref="A18"/>
    </sheetView>
  </sheetViews>
  <sheetFormatPr defaultRowHeight="14.4" x14ac:dyDescent="0.3"/>
  <cols>
    <col min="1" max="1" width="44.77734375" customWidth="1"/>
    <col min="2" max="2" width="59.77734375" bestFit="1" customWidth="1"/>
  </cols>
  <sheetData>
    <row r="1" spans="1:2" s="41" customFormat="1" ht="13.8" x14ac:dyDescent="0.3">
      <c r="A1" s="40" t="s">
        <v>381</v>
      </c>
    </row>
    <row r="2" spans="1:2" s="36" customFormat="1" ht="13.8" x14ac:dyDescent="0.3">
      <c r="A2" s="42" t="s">
        <v>382</v>
      </c>
      <c r="B2" s="36" t="s">
        <v>383</v>
      </c>
    </row>
    <row r="3" spans="1:2" s="36" customFormat="1" ht="13.8" x14ac:dyDescent="0.3">
      <c r="A3" s="42" t="s">
        <v>384</v>
      </c>
    </row>
    <row r="4" spans="1:2" s="36" customFormat="1" ht="13.8" x14ac:dyDescent="0.3">
      <c r="A4" s="42" t="s">
        <v>385</v>
      </c>
    </row>
    <row r="5" spans="1:2" s="36" customFormat="1" ht="13.8" x14ac:dyDescent="0.3">
      <c r="A5" s="43" t="s">
        <v>386</v>
      </c>
    </row>
    <row r="6" spans="1:2" s="36" customFormat="1" ht="13.8" x14ac:dyDescent="0.3">
      <c r="A6" s="43" t="s">
        <v>387</v>
      </c>
    </row>
    <row r="7" spans="1:2" s="36" customFormat="1" ht="13.8" x14ac:dyDescent="0.3">
      <c r="A7" s="43" t="s">
        <v>388</v>
      </c>
    </row>
    <row r="8" spans="1:2" s="36" customFormat="1" ht="13.8" x14ac:dyDescent="0.3">
      <c r="A8" s="42" t="s">
        <v>389</v>
      </c>
      <c r="B8" s="36" t="s">
        <v>390</v>
      </c>
    </row>
    <row r="9" spans="1:2" s="36" customFormat="1" ht="13.8" x14ac:dyDescent="0.3">
      <c r="A9" s="43" t="s">
        <v>391</v>
      </c>
      <c r="B9" s="36" t="s">
        <v>390</v>
      </c>
    </row>
    <row r="10" spans="1:2" s="36" customFormat="1" ht="13.8" x14ac:dyDescent="0.3">
      <c r="A10" s="43" t="s">
        <v>392</v>
      </c>
      <c r="B10" s="36" t="s">
        <v>390</v>
      </c>
    </row>
    <row r="11" spans="1:2" s="36" customFormat="1" ht="13.8" x14ac:dyDescent="0.3">
      <c r="A11" s="43" t="s">
        <v>393</v>
      </c>
      <c r="B11" s="36" t="s">
        <v>390</v>
      </c>
    </row>
    <row r="12" spans="1:2" s="36" customFormat="1" ht="13.8" x14ac:dyDescent="0.3">
      <c r="A12" s="44"/>
    </row>
    <row r="13" spans="1:2" s="36" customFormat="1" ht="13.8" x14ac:dyDescent="0.3">
      <c r="A13" s="40" t="s">
        <v>394</v>
      </c>
    </row>
    <row r="14" spans="1:2" s="36" customFormat="1" ht="13.8" x14ac:dyDescent="0.3">
      <c r="A14" s="42" t="s">
        <v>395</v>
      </c>
    </row>
    <row r="15" spans="1:2" s="36" customFormat="1" ht="13.8" x14ac:dyDescent="0.3">
      <c r="A15" s="42" t="s">
        <v>302</v>
      </c>
    </row>
    <row r="16" spans="1:2" s="36" customFormat="1" ht="13.8" x14ac:dyDescent="0.3">
      <c r="A16" s="42" t="s">
        <v>396</v>
      </c>
    </row>
    <row r="17" spans="1:2" s="36" customFormat="1" ht="13.8" x14ac:dyDescent="0.3">
      <c r="A17" s="42" t="s">
        <v>397</v>
      </c>
    </row>
    <row r="18" spans="1:2" s="36" customFormat="1" ht="13.8" x14ac:dyDescent="0.3">
      <c r="A18" s="42" t="s">
        <v>398</v>
      </c>
      <c r="B18" s="36" t="s">
        <v>399</v>
      </c>
    </row>
    <row r="19" spans="1:2" s="36" customFormat="1" ht="13.8" x14ac:dyDescent="0.3">
      <c r="A19" s="42" t="s">
        <v>400</v>
      </c>
    </row>
    <row r="20" spans="1:2" s="36" customFormat="1" ht="13.8" x14ac:dyDescent="0.3">
      <c r="A20" s="44"/>
    </row>
    <row r="21" spans="1:2" s="36" customFormat="1" ht="13.8" x14ac:dyDescent="0.3">
      <c r="A21" s="40" t="s">
        <v>401</v>
      </c>
    </row>
    <row r="22" spans="1:2" s="36" customFormat="1" ht="13.8" x14ac:dyDescent="0.3">
      <c r="A22" s="42" t="s">
        <v>402</v>
      </c>
    </row>
    <row r="23" spans="1:2" s="36" customFormat="1" ht="13.8" x14ac:dyDescent="0.3">
      <c r="A23" s="42" t="s">
        <v>403</v>
      </c>
    </row>
    <row r="24" spans="1:2" s="36" customFormat="1" ht="13.8" x14ac:dyDescent="0.3">
      <c r="A24" s="42" t="s">
        <v>385</v>
      </c>
    </row>
    <row r="25" spans="1:2" s="36" customFormat="1" ht="13.8" x14ac:dyDescent="0.3">
      <c r="A25" s="43" t="s">
        <v>404</v>
      </c>
    </row>
    <row r="26" spans="1:2" s="36" customFormat="1" ht="13.8" x14ac:dyDescent="0.3">
      <c r="A26" s="43" t="s">
        <v>387</v>
      </c>
    </row>
    <row r="27" spans="1:2" s="36" customFormat="1" ht="13.8" x14ac:dyDescent="0.3">
      <c r="A27" s="42" t="s">
        <v>405</v>
      </c>
    </row>
    <row r="28" spans="1:2" s="36" customFormat="1" ht="13.8" x14ac:dyDescent="0.3">
      <c r="A28" s="45" t="s">
        <v>406</v>
      </c>
    </row>
    <row r="29" spans="1:2" s="36" customFormat="1" ht="13.8" x14ac:dyDescent="0.3">
      <c r="A29" s="45" t="s">
        <v>407</v>
      </c>
    </row>
    <row r="30" spans="1:2" s="36" customFormat="1" ht="13.8" x14ac:dyDescent="0.3">
      <c r="A30" s="42" t="s">
        <v>408</v>
      </c>
    </row>
    <row r="31" spans="1:2" s="36" customFormat="1" ht="13.8" x14ac:dyDescent="0.3">
      <c r="A31" s="44"/>
    </row>
    <row r="32" spans="1:2" s="36" customFormat="1" ht="13.8" x14ac:dyDescent="0.3">
      <c r="A32" s="40" t="s">
        <v>409</v>
      </c>
    </row>
    <row r="33" spans="1:2" s="36" customFormat="1" ht="13.8" x14ac:dyDescent="0.3">
      <c r="A33" s="42" t="s">
        <v>410</v>
      </c>
    </row>
    <row r="34" spans="1:2" s="36" customFormat="1" ht="13.8" x14ac:dyDescent="0.3">
      <c r="A34" s="42" t="s">
        <v>411</v>
      </c>
    </row>
    <row r="35" spans="1:2" s="36" customFormat="1" ht="13.8" x14ac:dyDescent="0.3">
      <c r="A35" s="42" t="s">
        <v>412</v>
      </c>
    </row>
    <row r="36" spans="1:2" s="36" customFormat="1" ht="13.8" x14ac:dyDescent="0.3">
      <c r="A36" s="43"/>
    </row>
    <row r="37" spans="1:2" s="36" customFormat="1" ht="13.8" x14ac:dyDescent="0.3">
      <c r="A37" s="40" t="s">
        <v>413</v>
      </c>
    </row>
    <row r="38" spans="1:2" s="36" customFormat="1" ht="13.8" x14ac:dyDescent="0.3">
      <c r="A38" s="42" t="s">
        <v>414</v>
      </c>
    </row>
    <row r="39" spans="1:2" s="36" customFormat="1" ht="13.8" x14ac:dyDescent="0.3">
      <c r="A39" s="42" t="s">
        <v>415</v>
      </c>
    </row>
    <row r="40" spans="1:2" s="36" customFormat="1" ht="13.8" x14ac:dyDescent="0.3">
      <c r="A40" s="42" t="s">
        <v>416</v>
      </c>
    </row>
    <row r="41" spans="1:2" s="36" customFormat="1" ht="13.8" x14ac:dyDescent="0.3">
      <c r="A41" s="42" t="s">
        <v>417</v>
      </c>
    </row>
    <row r="42" spans="1:2" s="36" customFormat="1" ht="13.8" x14ac:dyDescent="0.3">
      <c r="A42" s="43"/>
    </row>
    <row r="43" spans="1:2" s="36" customFormat="1" ht="13.8" x14ac:dyDescent="0.3">
      <c r="A43" s="40" t="s">
        <v>418</v>
      </c>
    </row>
    <row r="44" spans="1:2" s="36" customFormat="1" ht="13.8" x14ac:dyDescent="0.3">
      <c r="A44" s="42" t="s">
        <v>152</v>
      </c>
    </row>
    <row r="45" spans="1:2" s="36" customFormat="1" ht="13.8" x14ac:dyDescent="0.3">
      <c r="A45" s="42" t="s">
        <v>419</v>
      </c>
      <c r="B45" s="36" t="s">
        <v>420</v>
      </c>
    </row>
    <row r="46" spans="1:2" s="36" customFormat="1" ht="13.8" x14ac:dyDescent="0.3">
      <c r="A46" s="42" t="s">
        <v>421</v>
      </c>
    </row>
    <row r="47" spans="1:2" s="36" customFormat="1" ht="13.8" x14ac:dyDescent="0.3">
      <c r="A47" s="43"/>
    </row>
    <row r="48" spans="1:2" s="36" customFormat="1" ht="13.8" x14ac:dyDescent="0.3">
      <c r="A48" s="40" t="s">
        <v>422</v>
      </c>
    </row>
    <row r="49" spans="1:1" s="36" customFormat="1" ht="13.8" x14ac:dyDescent="0.3">
      <c r="A49" s="42" t="s">
        <v>423</v>
      </c>
    </row>
    <row r="50" spans="1:1" s="36" customFormat="1" ht="13.8" x14ac:dyDescent="0.3">
      <c r="A50" s="42" t="s">
        <v>424</v>
      </c>
    </row>
    <row r="51" spans="1:1" s="36" customFormat="1" ht="13.8" x14ac:dyDescent="0.3">
      <c r="A51" s="42" t="s">
        <v>425</v>
      </c>
    </row>
    <row r="52" spans="1:1" s="36" customFormat="1" ht="13.8" x14ac:dyDescent="0.3">
      <c r="A52" s="42" t="s">
        <v>251</v>
      </c>
    </row>
    <row r="53" spans="1:1" s="36" customFormat="1" ht="13.8" x14ac:dyDescent="0.3">
      <c r="A53" s="43"/>
    </row>
    <row r="54" spans="1:1" s="36" customFormat="1" ht="13.8" x14ac:dyDescent="0.3">
      <c r="A54" s="40" t="s">
        <v>426</v>
      </c>
    </row>
    <row r="55" spans="1:1" s="36" customFormat="1" ht="13.8" x14ac:dyDescent="0.3">
      <c r="A55" s="42" t="s">
        <v>427</v>
      </c>
    </row>
    <row r="56" spans="1:1" s="36" customFormat="1" ht="13.8" x14ac:dyDescent="0.3">
      <c r="A56" s="42" t="s">
        <v>428</v>
      </c>
    </row>
    <row r="57" spans="1:1" s="36" customFormat="1" ht="13.8" x14ac:dyDescent="0.3">
      <c r="A57" s="42" t="s">
        <v>429</v>
      </c>
    </row>
    <row r="58" spans="1:1" s="36" customFormat="1" ht="13.8" x14ac:dyDescent="0.3">
      <c r="A58" s="43"/>
    </row>
    <row r="59" spans="1:1" s="36" customFormat="1" ht="13.8" x14ac:dyDescent="0.3">
      <c r="A59" s="40" t="s">
        <v>430</v>
      </c>
    </row>
    <row r="60" spans="1:1" s="36" customFormat="1" ht="13.8" x14ac:dyDescent="0.3">
      <c r="A60" s="42" t="s">
        <v>431</v>
      </c>
    </row>
    <row r="61" spans="1:1" s="36" customFormat="1" ht="13.8" x14ac:dyDescent="0.3">
      <c r="A61" s="42" t="s">
        <v>432</v>
      </c>
    </row>
    <row r="62" spans="1:1" s="36" customFormat="1" ht="13.8" x14ac:dyDescent="0.3">
      <c r="A62" s="42" t="s">
        <v>433</v>
      </c>
    </row>
    <row r="63" spans="1:1" s="36" customFormat="1" ht="13.8" x14ac:dyDescent="0.3">
      <c r="A63" s="42" t="s">
        <v>434</v>
      </c>
    </row>
    <row r="64" spans="1:1" s="36" customFormat="1" ht="13.8" x14ac:dyDescent="0.3">
      <c r="A64" s="43"/>
    </row>
    <row r="65" spans="1:1" s="36" customFormat="1" ht="13.8" x14ac:dyDescent="0.3">
      <c r="A65" s="40" t="s">
        <v>435</v>
      </c>
    </row>
    <row r="66" spans="1:1" s="36" customFormat="1" ht="13.8" x14ac:dyDescent="0.3">
      <c r="A66" s="42" t="s">
        <v>436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F8AB9-0642-4193-9008-F987D1593982}">
  <dimension ref="A1:P15"/>
  <sheetViews>
    <sheetView topLeftCell="D1" workbookViewId="0">
      <selection activeCell="H26" sqref="H26"/>
    </sheetView>
  </sheetViews>
  <sheetFormatPr defaultRowHeight="14.4" x14ac:dyDescent="0.3"/>
  <cols>
    <col min="2" max="2" width="17.77734375" customWidth="1"/>
    <col min="4" max="5" width="44" customWidth="1"/>
    <col min="6" max="6" width="11.77734375" customWidth="1"/>
    <col min="7" max="7" width="16.77734375" customWidth="1"/>
    <col min="8" max="8" width="34.77734375" customWidth="1"/>
    <col min="9" max="9" width="37.77734375" customWidth="1"/>
    <col min="11" max="11" width="17.21875" customWidth="1"/>
    <col min="12" max="12" width="10.21875" customWidth="1"/>
    <col min="15" max="15" width="31.77734375" customWidth="1"/>
  </cols>
  <sheetData>
    <row r="1" spans="1:16" s="34" customFormat="1" ht="40.200000000000003" x14ac:dyDescent="0.3">
      <c r="A1" s="55" t="s">
        <v>437</v>
      </c>
      <c r="B1" s="55" t="s">
        <v>265</v>
      </c>
      <c r="C1" s="55" t="s">
        <v>438</v>
      </c>
      <c r="D1" s="55" t="s">
        <v>439</v>
      </c>
      <c r="E1" s="55" t="s">
        <v>440</v>
      </c>
      <c r="F1" s="55" t="s">
        <v>441</v>
      </c>
      <c r="G1" s="55" t="s">
        <v>442</v>
      </c>
      <c r="H1" s="55" t="s">
        <v>443</v>
      </c>
      <c r="I1" s="55" t="s">
        <v>444</v>
      </c>
      <c r="J1" s="56" t="s">
        <v>445</v>
      </c>
      <c r="K1" s="56" t="s">
        <v>446</v>
      </c>
      <c r="L1" s="56" t="s">
        <v>447</v>
      </c>
      <c r="M1" s="56" t="s">
        <v>448</v>
      </c>
      <c r="N1" s="56" t="s">
        <v>449</v>
      </c>
      <c r="O1" s="56" t="s">
        <v>450</v>
      </c>
      <c r="P1" s="56" t="s">
        <v>451</v>
      </c>
    </row>
    <row r="2" spans="1:16" x14ac:dyDescent="0.3">
      <c r="A2" s="52" t="s">
        <v>280</v>
      </c>
      <c r="B2" s="52" t="s">
        <v>452</v>
      </c>
      <c r="C2" s="52" t="s">
        <v>282</v>
      </c>
      <c r="D2" s="52" t="s">
        <v>453</v>
      </c>
      <c r="E2" s="52" t="s">
        <v>454</v>
      </c>
      <c r="F2" s="52" t="s">
        <v>455</v>
      </c>
      <c r="G2" s="52" t="s">
        <v>282</v>
      </c>
      <c r="H2" s="52" t="s">
        <v>456</v>
      </c>
      <c r="I2" s="52" t="s">
        <v>457</v>
      </c>
      <c r="J2" s="53"/>
      <c r="K2" s="53"/>
      <c r="L2" s="53"/>
      <c r="M2" s="53"/>
      <c r="N2" s="53" t="s">
        <v>458</v>
      </c>
      <c r="O2" s="53"/>
      <c r="P2" s="53" t="s">
        <v>287</v>
      </c>
    </row>
    <row r="3" spans="1:16" ht="27" x14ac:dyDescent="0.3">
      <c r="A3" s="52" t="s">
        <v>280</v>
      </c>
      <c r="B3" s="52" t="s">
        <v>459</v>
      </c>
      <c r="C3" s="52" t="s">
        <v>291</v>
      </c>
      <c r="D3" s="52" t="s">
        <v>460</v>
      </c>
      <c r="E3" s="52" t="s">
        <v>461</v>
      </c>
      <c r="F3" s="52" t="s">
        <v>455</v>
      </c>
      <c r="G3" s="52" t="s">
        <v>289</v>
      </c>
      <c r="H3" s="52" t="s">
        <v>462</v>
      </c>
      <c r="I3" s="52" t="s">
        <v>463</v>
      </c>
      <c r="J3" s="53" t="s">
        <v>284</v>
      </c>
      <c r="K3" s="53" t="s">
        <v>464</v>
      </c>
      <c r="L3" s="53"/>
      <c r="M3" s="53"/>
      <c r="N3" s="53"/>
      <c r="O3" s="53" t="s">
        <v>465</v>
      </c>
      <c r="P3" s="53" t="s">
        <v>287</v>
      </c>
    </row>
    <row r="4" spans="1:16" x14ac:dyDescent="0.3">
      <c r="A4" s="52" t="s">
        <v>280</v>
      </c>
      <c r="B4" s="52" t="s">
        <v>466</v>
      </c>
      <c r="C4" s="52" t="s">
        <v>282</v>
      </c>
      <c r="D4" s="52" t="s">
        <v>467</v>
      </c>
      <c r="E4" s="52" t="s">
        <v>468</v>
      </c>
      <c r="F4" s="52" t="s">
        <v>455</v>
      </c>
      <c r="G4" s="52" t="s">
        <v>282</v>
      </c>
      <c r="H4" s="52"/>
      <c r="I4" s="52" t="s">
        <v>469</v>
      </c>
      <c r="J4" s="53" t="s">
        <v>301</v>
      </c>
      <c r="K4" s="53" t="s">
        <v>464</v>
      </c>
      <c r="L4" s="53"/>
      <c r="M4" s="53"/>
      <c r="N4" s="53" t="s">
        <v>458</v>
      </c>
      <c r="O4" s="53"/>
      <c r="P4" s="53" t="s">
        <v>287</v>
      </c>
    </row>
    <row r="5" spans="1:16" x14ac:dyDescent="0.3">
      <c r="A5" s="52" t="s">
        <v>280</v>
      </c>
      <c r="B5" s="52" t="s">
        <v>470</v>
      </c>
      <c r="C5" s="52" t="s">
        <v>471</v>
      </c>
      <c r="D5" s="52" t="s">
        <v>472</v>
      </c>
      <c r="E5" s="52" t="s">
        <v>473</v>
      </c>
      <c r="F5" s="52" t="s">
        <v>474</v>
      </c>
      <c r="G5" s="52" t="s">
        <v>475</v>
      </c>
      <c r="H5" s="52" t="s">
        <v>476</v>
      </c>
      <c r="I5" s="52" t="s">
        <v>477</v>
      </c>
      <c r="J5" s="53" t="s">
        <v>284</v>
      </c>
      <c r="K5" s="53">
        <v>27</v>
      </c>
      <c r="L5" s="53">
        <v>30</v>
      </c>
      <c r="M5" s="53">
        <v>32</v>
      </c>
      <c r="N5" s="53" t="s">
        <v>478</v>
      </c>
      <c r="O5" s="53"/>
      <c r="P5" s="53" t="s">
        <v>317</v>
      </c>
    </row>
    <row r="6" spans="1:16" ht="27" x14ac:dyDescent="0.3">
      <c r="A6" s="52" t="s">
        <v>311</v>
      </c>
      <c r="B6" s="52" t="s">
        <v>479</v>
      </c>
      <c r="C6" s="52" t="s">
        <v>471</v>
      </c>
      <c r="D6" s="52" t="s">
        <v>480</v>
      </c>
      <c r="E6" s="52" t="s">
        <v>481</v>
      </c>
      <c r="F6" s="52"/>
      <c r="G6" s="52"/>
      <c r="H6" s="52" t="s">
        <v>482</v>
      </c>
      <c r="I6" s="52" t="s">
        <v>483</v>
      </c>
      <c r="J6" s="53" t="s">
        <v>284</v>
      </c>
      <c r="K6" s="53">
        <v>30</v>
      </c>
      <c r="L6" s="53">
        <v>33</v>
      </c>
      <c r="M6" s="53">
        <v>40</v>
      </c>
      <c r="N6" s="53"/>
      <c r="O6" s="53"/>
      <c r="P6" s="53" t="s">
        <v>317</v>
      </c>
    </row>
    <row r="7" spans="1:16" x14ac:dyDescent="0.3">
      <c r="A7" s="52" t="s">
        <v>318</v>
      </c>
      <c r="B7" s="52" t="s">
        <v>484</v>
      </c>
      <c r="C7" s="52" t="s">
        <v>471</v>
      </c>
      <c r="D7" s="52" t="s">
        <v>485</v>
      </c>
      <c r="E7" s="52" t="s">
        <v>486</v>
      </c>
      <c r="F7" s="52" t="s">
        <v>487</v>
      </c>
      <c r="G7" s="52" t="s">
        <v>488</v>
      </c>
      <c r="H7" s="52" t="s">
        <v>489</v>
      </c>
      <c r="I7" s="52" t="s">
        <v>490</v>
      </c>
      <c r="J7" s="53" t="s">
        <v>284</v>
      </c>
      <c r="K7" s="53"/>
      <c r="L7" s="53"/>
      <c r="M7" s="53"/>
      <c r="N7" s="53" t="s">
        <v>478</v>
      </c>
      <c r="O7" s="53"/>
      <c r="P7" s="53" t="s">
        <v>317</v>
      </c>
    </row>
    <row r="8" spans="1:16" ht="27" x14ac:dyDescent="0.3">
      <c r="A8" s="52" t="s">
        <v>280</v>
      </c>
      <c r="B8" s="52" t="s">
        <v>491</v>
      </c>
      <c r="C8" s="52" t="s">
        <v>471</v>
      </c>
      <c r="D8" s="52" t="s">
        <v>492</v>
      </c>
      <c r="E8" s="52" t="s">
        <v>493</v>
      </c>
      <c r="F8" s="52" t="s">
        <v>455</v>
      </c>
      <c r="G8" s="52" t="s">
        <v>475</v>
      </c>
      <c r="H8" s="52"/>
      <c r="I8" s="52"/>
      <c r="J8" s="53" t="s">
        <v>284</v>
      </c>
      <c r="K8" s="53" t="s">
        <v>329</v>
      </c>
      <c r="L8" s="53" t="s">
        <v>330</v>
      </c>
      <c r="M8" s="53" t="s">
        <v>331</v>
      </c>
      <c r="N8" s="53" t="s">
        <v>458</v>
      </c>
      <c r="O8" s="53"/>
      <c r="P8" s="53" t="s">
        <v>317</v>
      </c>
    </row>
    <row r="9" spans="1:16" x14ac:dyDescent="0.3">
      <c r="A9" s="52" t="s">
        <v>280</v>
      </c>
      <c r="B9" s="52" t="s">
        <v>494</v>
      </c>
      <c r="C9" s="52" t="s">
        <v>291</v>
      </c>
      <c r="D9" s="52" t="s">
        <v>495</v>
      </c>
      <c r="E9" s="52" t="s">
        <v>496</v>
      </c>
      <c r="F9" s="52" t="s">
        <v>497</v>
      </c>
      <c r="G9" s="52" t="s">
        <v>289</v>
      </c>
      <c r="H9" s="52" t="s">
        <v>498</v>
      </c>
      <c r="I9" s="52" t="s">
        <v>499</v>
      </c>
      <c r="J9" s="53" t="s">
        <v>284</v>
      </c>
      <c r="K9" s="54">
        <v>0.25</v>
      </c>
      <c r="L9" s="54">
        <v>0.3</v>
      </c>
      <c r="M9" s="54">
        <v>0.32</v>
      </c>
      <c r="N9" s="53" t="s">
        <v>458</v>
      </c>
      <c r="O9" s="53" t="s">
        <v>500</v>
      </c>
      <c r="P9" s="53" t="s">
        <v>339</v>
      </c>
    </row>
    <row r="10" spans="1:16" ht="27" x14ac:dyDescent="0.3">
      <c r="A10" s="52" t="s">
        <v>280</v>
      </c>
      <c r="B10" s="52" t="s">
        <v>501</v>
      </c>
      <c r="C10" s="52" t="s">
        <v>291</v>
      </c>
      <c r="D10" s="52" t="s">
        <v>502</v>
      </c>
      <c r="E10" s="52" t="s">
        <v>503</v>
      </c>
      <c r="F10" s="52" t="s">
        <v>497</v>
      </c>
      <c r="G10" s="52" t="s">
        <v>289</v>
      </c>
      <c r="H10" s="52" t="s">
        <v>504</v>
      </c>
      <c r="I10" s="52" t="s">
        <v>505</v>
      </c>
      <c r="J10" s="53" t="s">
        <v>284</v>
      </c>
      <c r="K10" s="54">
        <v>0</v>
      </c>
      <c r="L10" s="54">
        <v>0.05</v>
      </c>
      <c r="M10" s="54">
        <v>0.1</v>
      </c>
      <c r="N10" s="53" t="s">
        <v>458</v>
      </c>
      <c r="O10" s="53" t="s">
        <v>506</v>
      </c>
      <c r="P10" s="53" t="s">
        <v>339</v>
      </c>
    </row>
    <row r="11" spans="1:16" ht="27" x14ac:dyDescent="0.3">
      <c r="A11" s="52" t="s">
        <v>280</v>
      </c>
      <c r="B11" s="52" t="s">
        <v>507</v>
      </c>
      <c r="C11" s="52" t="s">
        <v>347</v>
      </c>
      <c r="D11" s="52" t="s">
        <v>508</v>
      </c>
      <c r="E11" s="52" t="s">
        <v>509</v>
      </c>
      <c r="F11" s="52" t="s">
        <v>487</v>
      </c>
      <c r="G11" s="52" t="s">
        <v>510</v>
      </c>
      <c r="H11" s="52" t="s">
        <v>511</v>
      </c>
      <c r="I11" s="52" t="s">
        <v>512</v>
      </c>
      <c r="J11" s="53" t="s">
        <v>353</v>
      </c>
      <c r="K11" s="53" t="s">
        <v>513</v>
      </c>
      <c r="L11" s="53" t="s">
        <v>355</v>
      </c>
      <c r="M11" s="53" t="s">
        <v>514</v>
      </c>
      <c r="N11" s="53" t="s">
        <v>357</v>
      </c>
      <c r="O11" s="53" t="s">
        <v>515</v>
      </c>
      <c r="P11" s="53" t="s">
        <v>359</v>
      </c>
    </row>
    <row r="12" spans="1:16" x14ac:dyDescent="0.3">
      <c r="A12" s="52" t="s">
        <v>311</v>
      </c>
      <c r="B12" s="52" t="s">
        <v>152</v>
      </c>
      <c r="C12" s="52" t="s">
        <v>360</v>
      </c>
      <c r="D12" s="52" t="s">
        <v>516</v>
      </c>
      <c r="E12" s="52" t="s">
        <v>517</v>
      </c>
      <c r="F12" s="52" t="s">
        <v>455</v>
      </c>
      <c r="G12" s="52"/>
      <c r="H12" s="52" t="s">
        <v>518</v>
      </c>
      <c r="I12" s="52" t="s">
        <v>519</v>
      </c>
      <c r="J12" s="53" t="s">
        <v>353</v>
      </c>
      <c r="K12" s="53"/>
      <c r="L12" s="53"/>
      <c r="M12" s="53"/>
      <c r="N12" s="53" t="s">
        <v>458</v>
      </c>
      <c r="O12" s="53"/>
      <c r="P12" s="53" t="s">
        <v>365</v>
      </c>
    </row>
    <row r="13" spans="1:16" ht="27" x14ac:dyDescent="0.3">
      <c r="A13" s="52" t="s">
        <v>520</v>
      </c>
      <c r="B13" s="52" t="s">
        <v>521</v>
      </c>
      <c r="C13" s="52" t="s">
        <v>291</v>
      </c>
      <c r="D13" s="52" t="s">
        <v>522</v>
      </c>
      <c r="E13" s="52" t="s">
        <v>523</v>
      </c>
      <c r="F13" s="52" t="s">
        <v>455</v>
      </c>
      <c r="G13" s="52" t="s">
        <v>289</v>
      </c>
      <c r="H13" s="52"/>
      <c r="I13" s="52"/>
      <c r="J13" s="53" t="s">
        <v>301</v>
      </c>
      <c r="K13" s="53" t="s">
        <v>524</v>
      </c>
      <c r="L13" s="53" t="s">
        <v>524</v>
      </c>
      <c r="M13" s="53" t="s">
        <v>524</v>
      </c>
      <c r="N13" s="53" t="s">
        <v>458</v>
      </c>
      <c r="O13" s="53"/>
      <c r="P13" s="53" t="s">
        <v>287</v>
      </c>
    </row>
    <row r="14" spans="1:16" x14ac:dyDescent="0.3">
      <c r="A14" s="52" t="s">
        <v>371</v>
      </c>
      <c r="B14" s="52" t="s">
        <v>424</v>
      </c>
      <c r="C14" s="52" t="s">
        <v>282</v>
      </c>
      <c r="D14" s="52" t="s">
        <v>525</v>
      </c>
      <c r="E14" s="52" t="s">
        <v>526</v>
      </c>
      <c r="F14" s="52" t="s">
        <v>474</v>
      </c>
      <c r="G14" s="52" t="s">
        <v>282</v>
      </c>
      <c r="H14" s="52"/>
      <c r="I14" s="52" t="s">
        <v>527</v>
      </c>
      <c r="J14" s="53"/>
      <c r="K14" s="53"/>
      <c r="L14" s="53"/>
      <c r="M14" s="53"/>
      <c r="N14" s="53" t="s">
        <v>478</v>
      </c>
      <c r="O14" s="53"/>
      <c r="P14" s="53" t="s">
        <v>376</v>
      </c>
    </row>
    <row r="15" spans="1:16" x14ac:dyDescent="0.3">
      <c r="A15" s="52" t="s">
        <v>371</v>
      </c>
      <c r="B15" s="52" t="s">
        <v>528</v>
      </c>
      <c r="C15" s="52" t="s">
        <v>282</v>
      </c>
      <c r="D15" s="52" t="s">
        <v>529</v>
      </c>
      <c r="E15" s="52" t="s">
        <v>530</v>
      </c>
      <c r="F15" s="52" t="s">
        <v>474</v>
      </c>
      <c r="G15" s="52" t="s">
        <v>282</v>
      </c>
      <c r="H15" s="52" t="s">
        <v>476</v>
      </c>
      <c r="I15" s="52" t="s">
        <v>531</v>
      </c>
      <c r="J15" s="53" t="s">
        <v>284</v>
      </c>
      <c r="K15" s="53"/>
      <c r="L15" s="53"/>
      <c r="M15" s="53"/>
      <c r="N15" s="53" t="s">
        <v>478</v>
      </c>
      <c r="O15" s="53"/>
      <c r="P15" s="53" t="s">
        <v>380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BB6E-5D8E-48D2-8C76-379F4B4DCB4F}">
  <sheetPr>
    <tabColor rgb="FF00B0F0"/>
  </sheetPr>
  <dimension ref="A1:C14"/>
  <sheetViews>
    <sheetView workbookViewId="0">
      <selection sqref="A1:C14"/>
    </sheetView>
  </sheetViews>
  <sheetFormatPr defaultRowHeight="14.4" x14ac:dyDescent="0.3"/>
  <cols>
    <col min="1" max="1" width="3.5546875" customWidth="1"/>
    <col min="2" max="2" width="30.77734375" customWidth="1"/>
    <col min="3" max="3" width="116" bestFit="1" customWidth="1"/>
  </cols>
  <sheetData>
    <row r="1" spans="1:3" s="32" customFormat="1" ht="21" customHeight="1" x14ac:dyDescent="0.3">
      <c r="A1" s="30" t="s">
        <v>532</v>
      </c>
      <c r="B1" s="31" t="s">
        <v>533</v>
      </c>
      <c r="C1" s="31" t="s">
        <v>104</v>
      </c>
    </row>
    <row r="2" spans="1:3" x14ac:dyDescent="0.3">
      <c r="A2">
        <v>1</v>
      </c>
      <c r="B2" s="33" t="s">
        <v>534</v>
      </c>
      <c r="C2" t="s">
        <v>535</v>
      </c>
    </row>
    <row r="3" spans="1:3" x14ac:dyDescent="0.3">
      <c r="A3">
        <v>2</v>
      </c>
      <c r="B3" s="33" t="s">
        <v>401</v>
      </c>
    </row>
    <row r="4" spans="1:3" x14ac:dyDescent="0.3">
      <c r="A4">
        <v>3</v>
      </c>
      <c r="B4" s="33" t="s">
        <v>148</v>
      </c>
      <c r="C4" t="s">
        <v>536</v>
      </c>
    </row>
    <row r="5" spans="1:3" x14ac:dyDescent="0.3">
      <c r="A5">
        <v>4</v>
      </c>
      <c r="B5" s="33" t="s">
        <v>537</v>
      </c>
      <c r="C5" t="s">
        <v>538</v>
      </c>
    </row>
    <row r="6" spans="1:3" x14ac:dyDescent="0.3">
      <c r="A6">
        <v>5</v>
      </c>
      <c r="B6" s="33" t="s">
        <v>539</v>
      </c>
    </row>
    <row r="7" spans="1:3" x14ac:dyDescent="0.3">
      <c r="A7">
        <v>6</v>
      </c>
      <c r="B7" s="33" t="s">
        <v>30</v>
      </c>
    </row>
    <row r="8" spans="1:3" x14ac:dyDescent="0.3">
      <c r="A8">
        <v>7</v>
      </c>
      <c r="B8" s="33" t="s">
        <v>152</v>
      </c>
    </row>
    <row r="9" spans="1:3" x14ac:dyDescent="0.3">
      <c r="A9">
        <v>8</v>
      </c>
      <c r="B9" s="33" t="s">
        <v>540</v>
      </c>
      <c r="C9" t="s">
        <v>541</v>
      </c>
    </row>
    <row r="10" spans="1:3" x14ac:dyDescent="0.3">
      <c r="A10">
        <v>9</v>
      </c>
      <c r="B10" s="33" t="s">
        <v>542</v>
      </c>
      <c r="C10" t="s">
        <v>543</v>
      </c>
    </row>
    <row r="11" spans="1:3" x14ac:dyDescent="0.3">
      <c r="A11">
        <v>10</v>
      </c>
      <c r="B11" s="33" t="s">
        <v>544</v>
      </c>
      <c r="C11" t="s">
        <v>545</v>
      </c>
    </row>
    <row r="12" spans="1:3" x14ac:dyDescent="0.3">
      <c r="B12" s="28"/>
    </row>
    <row r="13" spans="1:3" x14ac:dyDescent="0.3">
      <c r="B13" s="29" t="s">
        <v>546</v>
      </c>
    </row>
    <row r="14" spans="1:3" x14ac:dyDescent="0.3">
      <c r="B14" s="29" t="s">
        <v>547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1BDD85947F3844E8000780A56C55080" ma:contentTypeVersion="3" ma:contentTypeDescription="Vytvoří nový dokument" ma:contentTypeScope="" ma:versionID="43a0d2c27949f47643314a9db3d2ef48">
  <xsd:schema xmlns:xsd="http://www.w3.org/2001/XMLSchema" xmlns:xs="http://www.w3.org/2001/XMLSchema" xmlns:p="http://schemas.microsoft.com/office/2006/metadata/properties" xmlns:ns2="148cca42-9086-4c19-b02a-02b7e00c6989" targetNamespace="http://schemas.microsoft.com/office/2006/metadata/properties" ma:root="true" ma:fieldsID="8fa09b50695ed0698e6ff4476135aaac" ns2:_="">
    <xsd:import namespace="148cca42-9086-4c19-b02a-02b7e00c69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8cca42-9086-4c19-b02a-02b7e00c6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493B64-3AF6-42AB-B75B-1222AEE544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8cca42-9086-4c19-b02a-02b7e00c69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731031-27A2-42C2-B1B5-065832EDFC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A12FF6-9AF8-481F-ABE9-AB5D95DF4F08}">
  <ds:schemaRefs>
    <ds:schemaRef ds:uri="http://purl.org/dc/dcmitype/"/>
    <ds:schemaRef ds:uri="http://schemas.microsoft.com/office/infopath/2007/PartnerControls"/>
    <ds:schemaRef ds:uri="http://purl.org/dc/elements/1.1/"/>
    <ds:schemaRef ds:uri="http://purl.org/dc/terms/"/>
    <ds:schemaRef ds:uri="148cca42-9086-4c19-b02a-02b7e00c6989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Vojta_all</vt:lpstr>
      <vt:lpstr>HR Reporty_actual</vt:lpstr>
      <vt:lpstr>ESG reporty_actual</vt:lpstr>
      <vt:lpstr>NÁVRH_do_BI</vt:lpstr>
      <vt:lpstr>Návrh_rozpad</vt:lpstr>
      <vt:lpstr>CZ</vt:lpstr>
      <vt:lpstr>NÁVRH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Vojtech Smejsik</dc:creator>
  <cp:keywords/>
  <dc:description/>
  <cp:lastModifiedBy>Ondrej Dolejs</cp:lastModifiedBy>
  <cp:revision/>
  <dcterms:created xsi:type="dcterms:W3CDTF">2024-12-04T08:57:19Z</dcterms:created>
  <dcterms:modified xsi:type="dcterms:W3CDTF">2026-04-24T12:59:31Z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0x01010051BDD85947F3844E8000780A56C55080</vt:lpwstr>
  </property>
</Properties>
</file>